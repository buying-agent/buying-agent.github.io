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D\Desktop\SHOP_ONE_FOLDER_FINAL\SHOP_ONE_FOLDER_FINAL\"/>
    </mc:Choice>
  </mc:AlternateContent>
  <xr:revisionPtr revIDLastSave="0" documentId="13_ncr:1_{53D688FC-974B-412D-BD58-BFC794D141A0}" xr6:coauthVersionLast="47" xr6:coauthVersionMax="47" xr10:uidLastSave="{00000000-0000-0000-0000-000000000000}"/>
  <bookViews>
    <workbookView xWindow="7950" yWindow="345" windowWidth="19425" windowHeight="14310" xr2:uid="{65B9F4B2-DD0F-4070-B932-301A856A585D}"/>
  </bookViews>
  <sheets>
    <sheet name="가방" sheetId="1" r:id="rId1"/>
    <sheet name="신발" sheetId="2" r:id="rId2"/>
    <sheet name="의류" sheetId="3" r:id="rId3"/>
    <sheet name="잡화"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5" i="1" l="1"/>
  <c r="E35" i="1" s="1"/>
  <c r="O35" i="1"/>
  <c r="M36" i="1"/>
  <c r="E36" i="1" s="1"/>
  <c r="O36" i="1"/>
  <c r="E37" i="1"/>
  <c r="M37" i="1"/>
  <c r="O37" i="1"/>
  <c r="M38" i="1"/>
  <c r="E38" i="1" s="1"/>
  <c r="O38" i="1"/>
  <c r="E39" i="1"/>
  <c r="M39" i="1"/>
  <c r="O39" i="1"/>
  <c r="M40" i="1"/>
  <c r="E40" i="1" s="1"/>
  <c r="O40" i="1"/>
  <c r="E41" i="1"/>
  <c r="M41" i="1"/>
  <c r="O41" i="1"/>
  <c r="M42" i="1"/>
  <c r="E42" i="1" s="1"/>
  <c r="O42" i="1"/>
  <c r="E43" i="1"/>
  <c r="M43" i="1"/>
  <c r="O43" i="1"/>
  <c r="M44" i="1"/>
  <c r="E44" i="1" s="1"/>
  <c r="O44" i="1"/>
  <c r="M26" i="1"/>
  <c r="E26" i="1" s="1"/>
  <c r="O26" i="1"/>
  <c r="M27" i="1"/>
  <c r="E27" i="1" s="1"/>
  <c r="O27" i="1"/>
  <c r="M28" i="1"/>
  <c r="E28" i="1" s="1"/>
  <c r="O28" i="1"/>
  <c r="M29" i="1"/>
  <c r="E29" i="1" s="1"/>
  <c r="O29" i="1"/>
  <c r="M30" i="1"/>
  <c r="E30" i="1" s="1"/>
  <c r="O30" i="1"/>
  <c r="M31" i="1"/>
  <c r="E31" i="1" s="1"/>
  <c r="O31" i="1"/>
  <c r="M32" i="1"/>
  <c r="E32" i="1" s="1"/>
  <c r="O32" i="1"/>
  <c r="M33" i="1"/>
  <c r="E33" i="1" s="1"/>
  <c r="O33" i="1"/>
  <c r="M34" i="1"/>
  <c r="E34" i="1" s="1"/>
  <c r="O34" i="1"/>
  <c r="M17" i="1"/>
  <c r="E17" i="1" s="1"/>
  <c r="O17" i="1"/>
  <c r="M18" i="1"/>
  <c r="E18" i="1" s="1"/>
  <c r="O18" i="1"/>
  <c r="M19" i="1"/>
  <c r="E19" i="1" s="1"/>
  <c r="O19" i="1"/>
  <c r="M20" i="1"/>
  <c r="E20" i="1" s="1"/>
  <c r="O20" i="1"/>
  <c r="M21" i="1"/>
  <c r="E21" i="1" s="1"/>
  <c r="O21" i="1"/>
  <c r="M22" i="1"/>
  <c r="E22" i="1" s="1"/>
  <c r="O22" i="1"/>
  <c r="M23" i="1"/>
  <c r="E23" i="1" s="1"/>
  <c r="O23" i="1"/>
  <c r="M24" i="1"/>
  <c r="E24" i="1" s="1"/>
  <c r="O24" i="1"/>
  <c r="M25" i="1"/>
  <c r="E25" i="1" s="1"/>
  <c r="O25" i="1"/>
  <c r="O16" i="1"/>
  <c r="M16" i="1"/>
  <c r="E16" i="1" s="1"/>
  <c r="O15" i="1"/>
  <c r="M15" i="1"/>
  <c r="E15" i="1" s="1"/>
  <c r="E2" i="3"/>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M3" i="2"/>
  <c r="E3" i="2" s="1"/>
  <c r="M4" i="2"/>
  <c r="E4" i="2" s="1"/>
  <c r="M5" i="2"/>
  <c r="E5" i="2" s="1"/>
  <c r="M6" i="2"/>
  <c r="E6" i="2" s="1"/>
  <c r="M7" i="2"/>
  <c r="E7" i="2" s="1"/>
  <c r="M8" i="2"/>
  <c r="E8" i="2" s="1"/>
  <c r="M9" i="2"/>
  <c r="E9" i="2" s="1"/>
  <c r="M10" i="2"/>
  <c r="E10" i="2" s="1"/>
  <c r="M11" i="2"/>
  <c r="E11" i="2" s="1"/>
  <c r="M12" i="2"/>
  <c r="E12" i="2" s="1"/>
  <c r="M13" i="2"/>
  <c r="E13" i="2" s="1"/>
  <c r="M14" i="2"/>
  <c r="E14" i="2" s="1"/>
  <c r="M15" i="2"/>
  <c r="E15" i="2" s="1"/>
  <c r="M16" i="2"/>
  <c r="E16" i="2" s="1"/>
  <c r="M17" i="2"/>
  <c r="E17" i="2" s="1"/>
  <c r="M18" i="2"/>
  <c r="E18" i="2" s="1"/>
  <c r="M19" i="2"/>
  <c r="E19" i="2" s="1"/>
  <c r="M20" i="2"/>
  <c r="E20" i="2" s="1"/>
  <c r="M21" i="2"/>
  <c r="E21" i="2" s="1"/>
  <c r="M22" i="2"/>
  <c r="E22" i="2" s="1"/>
  <c r="M23" i="2"/>
  <c r="E23" i="2" s="1"/>
  <c r="M24" i="2"/>
  <c r="E24" i="2" s="1"/>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E2"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2" i="2"/>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O101" i="4"/>
  <c r="M101" i="4"/>
  <c r="E101" i="4" s="1"/>
  <c r="O100" i="4"/>
  <c r="M100" i="4"/>
  <c r="E100" i="4" s="1"/>
  <c r="O99" i="4"/>
  <c r="M99" i="4"/>
  <c r="E99" i="4" s="1"/>
  <c r="O98" i="4"/>
  <c r="M98" i="4"/>
  <c r="E98" i="4"/>
  <c r="O97" i="4"/>
  <c r="M97" i="4"/>
  <c r="E97" i="4" s="1"/>
  <c r="O96" i="4"/>
  <c r="M96" i="4"/>
  <c r="E96" i="4" s="1"/>
  <c r="O95" i="4"/>
  <c r="M95" i="4"/>
  <c r="E95" i="4" s="1"/>
  <c r="O94" i="4"/>
  <c r="M94" i="4"/>
  <c r="E94" i="4"/>
  <c r="O93" i="4"/>
  <c r="M93" i="4"/>
  <c r="E93" i="4"/>
  <c r="O92" i="4"/>
  <c r="M92" i="4"/>
  <c r="E92" i="4" s="1"/>
  <c r="O91" i="4"/>
  <c r="M91" i="4"/>
  <c r="E91" i="4" s="1"/>
  <c r="O90" i="4"/>
  <c r="M90" i="4"/>
  <c r="E90" i="4"/>
  <c r="O89" i="4"/>
  <c r="M89" i="4"/>
  <c r="E89" i="4"/>
  <c r="O88" i="4"/>
  <c r="M88" i="4"/>
  <c r="E88" i="4" s="1"/>
  <c r="O87" i="4"/>
  <c r="M87" i="4"/>
  <c r="E87" i="4" s="1"/>
  <c r="O86" i="4"/>
  <c r="M86" i="4"/>
  <c r="E86" i="4"/>
  <c r="O85" i="4"/>
  <c r="M85" i="4"/>
  <c r="E85" i="4"/>
  <c r="O84" i="4"/>
  <c r="M84" i="4"/>
  <c r="E84" i="4" s="1"/>
  <c r="O83" i="4"/>
  <c r="M83" i="4"/>
  <c r="E83" i="4" s="1"/>
  <c r="O82" i="4"/>
  <c r="M82" i="4"/>
  <c r="E82" i="4"/>
  <c r="O81" i="4"/>
  <c r="M81" i="4"/>
  <c r="E81" i="4"/>
  <c r="O80" i="4"/>
  <c r="M80" i="4"/>
  <c r="E80" i="4" s="1"/>
  <c r="O79" i="4"/>
  <c r="M79" i="4"/>
  <c r="E79" i="4" s="1"/>
  <c r="O78" i="4"/>
  <c r="M78" i="4"/>
  <c r="E78" i="4"/>
  <c r="O77" i="4"/>
  <c r="M77" i="4"/>
  <c r="E77" i="4"/>
  <c r="O76" i="4"/>
  <c r="M76" i="4"/>
  <c r="E76" i="4" s="1"/>
  <c r="O75" i="4"/>
  <c r="M75" i="4"/>
  <c r="E75" i="4" s="1"/>
  <c r="O74" i="4"/>
  <c r="M74" i="4"/>
  <c r="E74" i="4"/>
  <c r="O73" i="4"/>
  <c r="M73" i="4"/>
  <c r="E73" i="4"/>
  <c r="O72" i="4"/>
  <c r="M72" i="4"/>
  <c r="E72" i="4" s="1"/>
  <c r="O71" i="4"/>
  <c r="M71" i="4"/>
  <c r="E71" i="4" s="1"/>
  <c r="O70" i="4"/>
  <c r="M70" i="4"/>
  <c r="E70" i="4"/>
  <c r="O69" i="4"/>
  <c r="M69" i="4"/>
  <c r="E69" i="4"/>
  <c r="O68" i="4"/>
  <c r="M68" i="4"/>
  <c r="E68" i="4" s="1"/>
  <c r="O67" i="4"/>
  <c r="M67" i="4"/>
  <c r="E67" i="4" s="1"/>
  <c r="O66" i="4"/>
  <c r="M66" i="4"/>
  <c r="E66" i="4"/>
  <c r="O65" i="4"/>
  <c r="M65" i="4"/>
  <c r="E65" i="4"/>
  <c r="O64" i="4"/>
  <c r="M64" i="4"/>
  <c r="E64" i="4" s="1"/>
  <c r="O63" i="4"/>
  <c r="M63" i="4"/>
  <c r="E63" i="4" s="1"/>
  <c r="O62" i="4"/>
  <c r="M62" i="4"/>
  <c r="E62" i="4"/>
  <c r="O61" i="4"/>
  <c r="M61" i="4"/>
  <c r="E61" i="4"/>
  <c r="O60" i="4"/>
  <c r="M60" i="4"/>
  <c r="E60" i="4" s="1"/>
  <c r="O59" i="4"/>
  <c r="M59" i="4"/>
  <c r="E59" i="4" s="1"/>
  <c r="O58" i="4"/>
  <c r="M58" i="4"/>
  <c r="E58" i="4"/>
  <c r="O57" i="4"/>
  <c r="M57" i="4"/>
  <c r="E57" i="4"/>
  <c r="O56" i="4"/>
  <c r="M56" i="4"/>
  <c r="E56" i="4" s="1"/>
  <c r="O55" i="4"/>
  <c r="M55" i="4"/>
  <c r="E55" i="4" s="1"/>
  <c r="O54" i="4"/>
  <c r="M54" i="4"/>
  <c r="E54" i="4"/>
  <c r="O53" i="4"/>
  <c r="M53" i="4"/>
  <c r="E53" i="4"/>
  <c r="O52" i="4"/>
  <c r="M52" i="4"/>
  <c r="E52" i="4" s="1"/>
  <c r="O51" i="4"/>
  <c r="M51" i="4"/>
  <c r="E51" i="4" s="1"/>
  <c r="O50" i="4"/>
  <c r="M50" i="4"/>
  <c r="E50" i="4"/>
  <c r="O49" i="4"/>
  <c r="M49" i="4"/>
  <c r="E49" i="4"/>
  <c r="O48" i="4"/>
  <c r="M48" i="4"/>
  <c r="E48" i="4" s="1"/>
  <c r="O47" i="4"/>
  <c r="M47" i="4"/>
  <c r="E47" i="4" s="1"/>
  <c r="O46" i="4"/>
  <c r="M46" i="4"/>
  <c r="E46" i="4"/>
  <c r="O45" i="4"/>
  <c r="M45" i="4"/>
  <c r="E45" i="4"/>
  <c r="O44" i="4"/>
  <c r="M44" i="4"/>
  <c r="E44" i="4" s="1"/>
  <c r="O43" i="4"/>
  <c r="M43" i="4"/>
  <c r="E43" i="4" s="1"/>
  <c r="O42" i="4"/>
  <c r="M42" i="4"/>
  <c r="E42" i="4"/>
  <c r="O41" i="4"/>
  <c r="M41" i="4"/>
  <c r="E41" i="4"/>
  <c r="O40" i="4"/>
  <c r="M40" i="4"/>
  <c r="E40" i="4" s="1"/>
  <c r="O39" i="4"/>
  <c r="M39" i="4"/>
  <c r="E39" i="4" s="1"/>
  <c r="O38" i="4"/>
  <c r="M38" i="4"/>
  <c r="E38" i="4"/>
  <c r="O37" i="4"/>
  <c r="M37" i="4"/>
  <c r="E37" i="4"/>
  <c r="O36" i="4"/>
  <c r="M36" i="4"/>
  <c r="E36" i="4" s="1"/>
  <c r="O35" i="4"/>
  <c r="M35" i="4"/>
  <c r="E35" i="4" s="1"/>
  <c r="O34" i="4"/>
  <c r="M34" i="4"/>
  <c r="E34" i="4"/>
  <c r="O33" i="4"/>
  <c r="M33" i="4"/>
  <c r="E33" i="4"/>
  <c r="O32" i="4"/>
  <c r="M32" i="4"/>
  <c r="E32" i="4" s="1"/>
  <c r="O31" i="4"/>
  <c r="M31" i="4"/>
  <c r="E31" i="4" s="1"/>
  <c r="O30" i="4"/>
  <c r="M30" i="4"/>
  <c r="E30" i="4"/>
  <c r="O29" i="4"/>
  <c r="M29" i="4"/>
  <c r="E29" i="4"/>
  <c r="O28" i="4"/>
  <c r="M28" i="4"/>
  <c r="E28" i="4" s="1"/>
  <c r="O27" i="4"/>
  <c r="M27" i="4"/>
  <c r="E27" i="4" s="1"/>
  <c r="O26" i="4"/>
  <c r="M26" i="4"/>
  <c r="E26" i="4"/>
  <c r="O25" i="4"/>
  <c r="M25" i="4"/>
  <c r="E25" i="4"/>
  <c r="O24" i="4"/>
  <c r="M24" i="4"/>
  <c r="E24" i="4" s="1"/>
  <c r="O23" i="4"/>
  <c r="M23" i="4"/>
  <c r="E23" i="4" s="1"/>
  <c r="O22" i="4"/>
  <c r="M22" i="4"/>
  <c r="E22" i="4"/>
  <c r="O21" i="4"/>
  <c r="M21" i="4"/>
  <c r="E21" i="4"/>
  <c r="O20" i="4"/>
  <c r="M20" i="4"/>
  <c r="E20" i="4" s="1"/>
  <c r="O19" i="4"/>
  <c r="M19" i="4"/>
  <c r="E19" i="4" s="1"/>
  <c r="O18" i="4"/>
  <c r="M18" i="4"/>
  <c r="E18" i="4"/>
  <c r="O17" i="4"/>
  <c r="M17" i="4"/>
  <c r="E17" i="4"/>
  <c r="O16" i="4"/>
  <c r="M16" i="4"/>
  <c r="E16" i="4" s="1"/>
  <c r="O15" i="4"/>
  <c r="M15" i="4"/>
  <c r="E15" i="4" s="1"/>
  <c r="O14" i="4"/>
  <c r="M14" i="4"/>
  <c r="E14" i="4" s="1"/>
  <c r="O13" i="4"/>
  <c r="M13" i="4"/>
  <c r="E13" i="4"/>
  <c r="O12" i="4"/>
  <c r="M12" i="4"/>
  <c r="E12" i="4" s="1"/>
  <c r="O11" i="4"/>
  <c r="M11" i="4"/>
  <c r="E11" i="4" s="1"/>
  <c r="O10" i="4"/>
  <c r="M10" i="4"/>
  <c r="E10" i="4"/>
  <c r="O9" i="4"/>
  <c r="M9" i="4"/>
  <c r="E9" i="4"/>
  <c r="O8" i="4"/>
  <c r="M8" i="4"/>
  <c r="E8" i="4" s="1"/>
  <c r="O7" i="4"/>
  <c r="M7" i="4"/>
  <c r="E7" i="4" s="1"/>
  <c r="O6" i="4"/>
  <c r="M6" i="4"/>
  <c r="E6" i="4"/>
  <c r="O5" i="4"/>
  <c r="M5" i="4"/>
  <c r="E5" i="4"/>
  <c r="O4" i="4"/>
  <c r="M4" i="4"/>
  <c r="E4" i="4" s="1"/>
  <c r="O3" i="4"/>
  <c r="M3" i="4"/>
  <c r="E3" i="4" s="1"/>
  <c r="O2" i="4"/>
  <c r="M2" i="4"/>
  <c r="E2" i="4"/>
  <c r="M101" i="3"/>
  <c r="E101" i="3" s="1"/>
  <c r="M100" i="3"/>
  <c r="E100" i="3" s="1"/>
  <c r="M99" i="3"/>
  <c r="E99" i="3" s="1"/>
  <c r="M98" i="3"/>
  <c r="E98" i="3"/>
  <c r="M97" i="3"/>
  <c r="E97" i="3"/>
  <c r="M96" i="3"/>
  <c r="E96" i="3" s="1"/>
  <c r="M95" i="3"/>
  <c r="E95" i="3" s="1"/>
  <c r="M94" i="3"/>
  <c r="E94" i="3"/>
  <c r="M93" i="3"/>
  <c r="E93" i="3"/>
  <c r="M92" i="3"/>
  <c r="E92" i="3" s="1"/>
  <c r="M91" i="3"/>
  <c r="E91" i="3" s="1"/>
  <c r="M90" i="3"/>
  <c r="E90" i="3"/>
  <c r="M89" i="3"/>
  <c r="E89" i="3"/>
  <c r="M88" i="3"/>
  <c r="E88" i="3" s="1"/>
  <c r="M87" i="3"/>
  <c r="E87" i="3" s="1"/>
  <c r="M86" i="3"/>
  <c r="E86" i="3"/>
  <c r="M85" i="3"/>
  <c r="E85" i="3"/>
  <c r="M84" i="3"/>
  <c r="E84" i="3" s="1"/>
  <c r="M83" i="3"/>
  <c r="E83" i="3" s="1"/>
  <c r="M82" i="3"/>
  <c r="E82" i="3"/>
  <c r="M81" i="3"/>
  <c r="E81" i="3"/>
  <c r="M80" i="3"/>
  <c r="E80" i="3" s="1"/>
  <c r="M79" i="3"/>
  <c r="E79" i="3" s="1"/>
  <c r="M78" i="3"/>
  <c r="E78" i="3"/>
  <c r="M77" i="3"/>
  <c r="E77" i="3"/>
  <c r="M76" i="3"/>
  <c r="E76" i="3" s="1"/>
  <c r="M75" i="3"/>
  <c r="E75" i="3" s="1"/>
  <c r="M74" i="3"/>
  <c r="E74" i="3"/>
  <c r="M73" i="3"/>
  <c r="E73" i="3"/>
  <c r="M72" i="3"/>
  <c r="E72" i="3" s="1"/>
  <c r="M71" i="3"/>
  <c r="E71" i="3" s="1"/>
  <c r="M70" i="3"/>
  <c r="E70" i="3"/>
  <c r="M69" i="3"/>
  <c r="E69" i="3"/>
  <c r="M68" i="3"/>
  <c r="E68" i="3" s="1"/>
  <c r="M67" i="3"/>
  <c r="E67" i="3" s="1"/>
  <c r="M66" i="3"/>
  <c r="E66" i="3"/>
  <c r="M65" i="3"/>
  <c r="E65" i="3"/>
  <c r="M64" i="3"/>
  <c r="E64" i="3" s="1"/>
  <c r="M63" i="3"/>
  <c r="E63" i="3" s="1"/>
  <c r="M62" i="3"/>
  <c r="E62" i="3"/>
  <c r="M61" i="3"/>
  <c r="E61" i="3"/>
  <c r="M60" i="3"/>
  <c r="E60" i="3" s="1"/>
  <c r="M59" i="3"/>
  <c r="E59" i="3" s="1"/>
  <c r="M58" i="3"/>
  <c r="E58" i="3"/>
  <c r="M57" i="3"/>
  <c r="E57" i="3"/>
  <c r="M56" i="3"/>
  <c r="E56" i="3" s="1"/>
  <c r="M55" i="3"/>
  <c r="E55" i="3" s="1"/>
  <c r="M54" i="3"/>
  <c r="E54" i="3"/>
  <c r="M53" i="3"/>
  <c r="E53" i="3"/>
  <c r="M52" i="3"/>
  <c r="E52" i="3" s="1"/>
  <c r="M51" i="3"/>
  <c r="E51" i="3" s="1"/>
  <c r="M50" i="3"/>
  <c r="E50" i="3"/>
  <c r="M49" i="3"/>
  <c r="E49" i="3"/>
  <c r="M48" i="3"/>
  <c r="E48" i="3" s="1"/>
  <c r="M47" i="3"/>
  <c r="E47" i="3" s="1"/>
  <c r="M46" i="3"/>
  <c r="E46" i="3"/>
  <c r="M45" i="3"/>
  <c r="E45" i="3"/>
  <c r="M44" i="3"/>
  <c r="E44" i="3" s="1"/>
  <c r="M43" i="3"/>
  <c r="E43" i="3" s="1"/>
  <c r="M42" i="3"/>
  <c r="E42" i="3"/>
  <c r="M41" i="3"/>
  <c r="E41" i="3"/>
  <c r="M40" i="3"/>
  <c r="E40" i="3" s="1"/>
  <c r="M39" i="3"/>
  <c r="E39" i="3" s="1"/>
  <c r="M38" i="3"/>
  <c r="E38" i="3"/>
  <c r="M37" i="3"/>
  <c r="E37" i="3"/>
  <c r="M36" i="3"/>
  <c r="E36" i="3" s="1"/>
  <c r="M35" i="3"/>
  <c r="E35" i="3" s="1"/>
  <c r="M34" i="3"/>
  <c r="E34" i="3"/>
  <c r="M33" i="3"/>
  <c r="E33" i="3"/>
  <c r="M32" i="3"/>
  <c r="E32" i="3" s="1"/>
  <c r="M31" i="3"/>
  <c r="E31" i="3" s="1"/>
  <c r="M30" i="3"/>
  <c r="E30" i="3"/>
  <c r="M29" i="3"/>
  <c r="E29" i="3"/>
  <c r="M28" i="3"/>
  <c r="E28" i="3" s="1"/>
  <c r="M27" i="3"/>
  <c r="E27" i="3" s="1"/>
  <c r="M26" i="3"/>
  <c r="E26" i="3"/>
  <c r="M25" i="3"/>
  <c r="E25" i="3"/>
  <c r="M24" i="3"/>
  <c r="E24" i="3" s="1"/>
  <c r="M23" i="3"/>
  <c r="E23" i="3" s="1"/>
  <c r="M22" i="3"/>
  <c r="E22" i="3"/>
  <c r="M21" i="3"/>
  <c r="E21" i="3"/>
  <c r="M20" i="3"/>
  <c r="E20" i="3" s="1"/>
  <c r="M19" i="3"/>
  <c r="E19" i="3" s="1"/>
  <c r="M18" i="3"/>
  <c r="E18" i="3"/>
  <c r="M17" i="3"/>
  <c r="E17" i="3"/>
  <c r="M16" i="3"/>
  <c r="E16" i="3" s="1"/>
  <c r="M15" i="3"/>
  <c r="E15" i="3" s="1"/>
  <c r="M14" i="3"/>
  <c r="E14" i="3"/>
  <c r="M13" i="3"/>
  <c r="E13" i="3"/>
  <c r="M12" i="3"/>
  <c r="E12" i="3" s="1"/>
  <c r="M11" i="3"/>
  <c r="E11" i="3" s="1"/>
  <c r="M10" i="3"/>
  <c r="E10" i="3"/>
  <c r="M9" i="3"/>
  <c r="E9" i="3"/>
  <c r="M8" i="3"/>
  <c r="E8" i="3" s="1"/>
  <c r="M7" i="3"/>
  <c r="E7" i="3" s="1"/>
  <c r="M6" i="3"/>
  <c r="E6" i="3"/>
  <c r="M5" i="3"/>
  <c r="E5" i="3"/>
  <c r="M4" i="3"/>
  <c r="E4" i="3" s="1"/>
  <c r="M3" i="3"/>
  <c r="E3" i="3" s="1"/>
  <c r="M2" i="3"/>
  <c r="O5" i="1"/>
  <c r="O4" i="1"/>
  <c r="O3" i="1"/>
  <c r="O2" i="1"/>
  <c r="O14" i="1"/>
  <c r="O13" i="1"/>
  <c r="O12" i="1"/>
  <c r="O11" i="1"/>
  <c r="O10" i="1"/>
  <c r="O9" i="1"/>
  <c r="O8" i="1"/>
  <c r="O7" i="1"/>
  <c r="O6" i="1"/>
  <c r="M14" i="1"/>
  <c r="E14" i="1" s="1"/>
  <c r="M10" i="1"/>
  <c r="E10" i="1" s="1"/>
  <c r="M11" i="1"/>
  <c r="E11" i="1" s="1"/>
  <c r="M12" i="1"/>
  <c r="E12" i="1" s="1"/>
  <c r="M13" i="1"/>
  <c r="E13" i="1" s="1"/>
  <c r="M3" i="1"/>
  <c r="E3" i="1" s="1"/>
  <c r="M4" i="1"/>
  <c r="E4" i="1" s="1"/>
  <c r="M5" i="1"/>
  <c r="E5" i="1" s="1"/>
  <c r="M6" i="1"/>
  <c r="E6" i="1" s="1"/>
  <c r="M7" i="1"/>
  <c r="E7" i="1" s="1"/>
  <c r="M8" i="1"/>
  <c r="E8" i="1" s="1"/>
  <c r="M9" i="1"/>
  <c r="E9" i="1" s="1"/>
  <c r="M2" i="1"/>
  <c r="E2" i="1" s="1"/>
</calcChain>
</file>

<file path=xl/sharedStrings.xml><?xml version="1.0" encoding="utf-8"?>
<sst xmlns="http://schemas.openxmlformats.org/spreadsheetml/2006/main" count="2562" uniqueCount="526">
  <si>
    <t>id</t>
  </si>
  <si>
    <t>category</t>
  </si>
  <si>
    <t>categoryName</t>
  </si>
  <si>
    <t>name</t>
  </si>
  <si>
    <t>price</t>
  </si>
  <si>
    <t>shortDesc</t>
  </si>
  <si>
    <t>desc</t>
  </si>
  <si>
    <t>folder</t>
  </si>
  <si>
    <t>colors</t>
  </si>
  <si>
    <t>options</t>
  </si>
  <si>
    <t>status</t>
  </si>
  <si>
    <t>위안화</t>
  </si>
  <si>
    <t>원화</t>
  </si>
  <si>
    <t>모델번호</t>
  </si>
  <si>
    <t>bag01</t>
  </si>
  <si>
    <t>bag</t>
  </si>
  <si>
    <t>가방</t>
  </si>
  <si>
    <t>데님 미니 백팩</t>
  </si>
  <si>
    <t>최고급 브랜드 고유의 하이엔드한 감성</t>
  </si>
  <si>
    <t>유행을 타지 않는 감각적인 데님 컬러로 제작되어 봄, 여름, 가을, 겨울 사계절 내내 데일리하게 매치하기 좋은 에센셜 아이템입니다.
특유의 빈티지하면서도 정교한 디테일이 고급스러운 실루엣을 완성해 주며, 캐주얼룩부터 페미닌룩까지 다양한 스타일에 포인트 주기 좋습니다.
18x18cm의 실용적인 규격으로, 아담한 크기 대비 수납력이 우수해 일상적인 소지품을 여유 있게 수납할 수 있습니다.
높은 활용도와 독보적인 무드를 자랑하는 제품으로 적극 추천해 드립니다.
MODEL NO: 1293
SIZE: 18 x 18 cm</t>
  </si>
  <si>
    <t>블루 데님 / 미니|상담 후 옵션 확인</t>
  </si>
  <si>
    <t>show</t>
  </si>
  <si>
    <t>bag02</t>
  </si>
  <si>
    <t>데님 볼링백</t>
  </si>
  <si>
    <t>탄탄하고 내구성이 뛰어난 데님 소재로 제작되어 일상생활에서 스크래치 걱정 없이 편안하게 착용하실 수 있으며, 캐주얼한 출근룩부터 격식 있는 데이트룩까지 어떤 스타일이든 완성도 높게 연출해 줍니다. 사계절 내내 구애받지 않는 감각적인 컬러감으로, 착용하는 순간 룩 전체에 고급스러운 분위기를 더해줍니다.
시즌 리스 아이템으로 활용도가 높아 빠르게 품절될 수 있으니, 망설이지 마시고 미리 소장하시는 것을 적극 추천해 드립니다.
MODEL NO: 1272
SIZE: 31 x 16 cm</t>
  </si>
  <si>
    <t>상담 후 옵션 확인</t>
  </si>
  <si>
    <t>bag03</t>
  </si>
  <si>
    <t>체인 숄더백</t>
  </si>
  <si>
    <t>포인트 주기 좋은 체인 숄더백입니다.</t>
  </si>
  <si>
    <t>체인 스트랩 포인트가 있는 숄더백 스타일입니다.
상세페이지에서 디테일 사진을 확인할 수 있습니다.</t>
  </si>
  <si>
    <t>bag04</t>
  </si>
  <si>
    <t>투컬러 미니백</t>
  </si>
  <si>
    <t>블랙/베이지 색상 선택이 가능한 미니백입니다.</t>
  </si>
  <si>
    <t>상세페이지에서 색상을 선택하면 해당 색상의 이미지가 자동으로 변경됩니다.</t>
  </si>
  <si>
    <t>블랙:black|베이지:beige</t>
  </si>
  <si>
    <t>bag05</t>
  </si>
  <si>
    <t>다양한컬러 미니백</t>
  </si>
  <si>
    <t>낮과 밤을 가리지 않고 언제 어디서나 독보적인 존재감을 드러내는 아이템</t>
  </si>
  <si>
    <t>자유롭게 조절 및 탈부착이 가능한 레더 스트랩이 포함되어 있어 숄더백, 크로스백, 토트백까지 그날의 무드에 맞게 3-WAY로 다채롭게 연출하실 수 있습니다. 벨트나 안전화 등 작업용 툴웨어의 탄탄한 느낌을 선호하시는 분들께도 일상 속 감각적인 메인 포인트 백으로 부드럽게 매치하기 좋습니다.
SIZE: 24 x 13 x 8 cm (가로 x 세로 x 폭)</t>
  </si>
  <si>
    <t>화이트:white|브라운:brown|다크브라운:darkbrown</t>
  </si>
  <si>
    <t>bag06</t>
  </si>
  <si>
    <t>네가지 색상 선택이 가능한 백입니다.</t>
  </si>
  <si>
    <t>주황:black|핑크:brown|블랙:darkbrown|블루:white</t>
  </si>
  <si>
    <t>bag07</t>
  </si>
  <si>
    <t>bag08</t>
  </si>
  <si>
    <t>주얼리의 우아함을 담다</t>
  </si>
  <si>
    <t>세가지 색상 선택이 가능한 백입니다.</t>
    <phoneticPr fontId="18" type="noConversion"/>
  </si>
  <si>
    <t>베이지:beige|블랙:black|레드:red</t>
    <phoneticPr fontId="18" type="noConversion"/>
  </si>
  <si>
    <r>
      <t xml:space="preserve">이 백의 가장 큰 반전 매력! 플랩(덮개)을 밖으로 꺼내면 </t>
    </r>
    <r>
      <rPr>
        <b/>
        <sz val="11"/>
        <color theme="1"/>
        <rFont val="맑은 고딕"/>
        <family val="3"/>
        <charset val="129"/>
        <scheme val="minor"/>
      </rPr>
      <t>클래식하고 우아한 무드</t>
    </r>
    <r>
      <rPr>
        <sz val="11"/>
        <color theme="1"/>
        <rFont val="맑은 고딕"/>
        <family val="2"/>
        <charset val="129"/>
        <scheme val="minor"/>
      </rPr>
      <t xml:space="preserve">로, 안으로 쏙 넣으면 </t>
    </r>
    <r>
      <rPr>
        <b/>
        <sz val="11"/>
        <color theme="1"/>
        <rFont val="맑은 고딕"/>
        <family val="3"/>
        <charset val="129"/>
        <scheme val="minor"/>
      </rPr>
      <t>시크하고 모던한 무드</t>
    </r>
    <r>
      <rPr>
        <sz val="11"/>
        <color theme="1"/>
        <rFont val="맑은 고딕"/>
        <family val="2"/>
        <charset val="129"/>
        <scheme val="minor"/>
      </rPr>
      <t xml:space="preserve">로 전혀 다른 두 가지 스타일링이 가능합니다.
사이즈: 27 × 18 × 9 </t>
    </r>
    <phoneticPr fontId="18" type="noConversion"/>
  </si>
  <si>
    <t>상담 후 옵션 확인</t>
    <phoneticPr fontId="18" type="noConversion"/>
  </si>
  <si>
    <t>상담 후 옵션 확인
|작은 제품 사이즈 21.0 x 14.0 x 8.0 문의</t>
    <phoneticPr fontId="18" type="noConversion"/>
  </si>
  <si>
    <t>네가지 색상 선택이 가능한 백입니다.</t>
    <phoneticPr fontId="18" type="noConversion"/>
  </si>
  <si>
    <t>예술품 같은 자개(Shell) 체인</t>
  </si>
  <si>
    <r>
      <t>소가죽</t>
    </r>
    <r>
      <rPr>
        <sz val="11"/>
        <color theme="1"/>
        <rFont val="맑은 고딕"/>
        <family val="2"/>
        <charset val="129"/>
        <scheme val="minor"/>
      </rPr>
      <t>을 사용하여, 스크래치에 강하면서도 부드러운 터치감을 자랑합니다. 무너짐 없이 정교하게 잡힌 컴팩트한 바디 라인이 시크함을 더해줍니다.</t>
    </r>
  </si>
  <si>
    <t>상담 후 옵션 확인
|작은 제품 사이즈 22×12×8cm 문의</t>
    <phoneticPr fontId="18" type="noConversion"/>
  </si>
  <si>
    <t>화이트:beige|블랙:black|핑크:pink|</t>
    <phoneticPr fontId="18" type="noConversion"/>
  </si>
  <si>
    <t>bag09</t>
  </si>
  <si>
    <t>bag10</t>
  </si>
  <si>
    <t>bag11</t>
  </si>
  <si>
    <t>bag12</t>
  </si>
  <si>
    <t>bag13</t>
  </si>
  <si>
    <t>비교 불가한 하이퀄리티 포인트</t>
  </si>
  <si>
    <t>취향 저격 '리본 네임택' 디테일
이 가방의 가장 사랑스러운 반전 매력 포인트! 탈부착 가능한 네임택에 귀여운 리본 디테일이 더해져 클래식한 캐리올 백에 영하고 유니크한 감성을 불어넣었습니다.사이즈: 33.5 × 20.0 × 10.0 cm (가로 × 세로 × 폭)</t>
    <phoneticPr fontId="18" type="noConversion"/>
  </si>
  <si>
    <t>블랙:black|브라운:brown|멀티:multi|화이트:whiite</t>
    <phoneticPr fontId="18" type="noConversion"/>
  </si>
  <si>
    <t>잡화</t>
    <phoneticPr fontId="18" type="noConversion"/>
  </si>
  <si>
    <t>hide</t>
    <phoneticPr fontId="18" type="noConversion"/>
  </si>
  <si>
    <t>clothes01</t>
    <phoneticPr fontId="18" type="noConversion"/>
  </si>
  <si>
    <t>clothes</t>
    <phoneticPr fontId="18" type="noConversion"/>
  </si>
  <si>
    <t>의류</t>
    <phoneticPr fontId="18" type="noConversion"/>
  </si>
  <si>
    <t>clothes02</t>
  </si>
  <si>
    <t>clothes03</t>
  </si>
  <si>
    <t>clothes04</t>
  </si>
  <si>
    <t>clothes05</t>
  </si>
  <si>
    <t>clothes06</t>
  </si>
  <si>
    <t>clothes07</t>
  </si>
  <si>
    <t>clothes08</t>
  </si>
  <si>
    <t>clothes09</t>
  </si>
  <si>
    <t>clothes10</t>
  </si>
  <si>
    <t>clothes11</t>
  </si>
  <si>
    <t>clothes12</t>
  </si>
  <si>
    <t>clothes13</t>
  </si>
  <si>
    <t>clothes14</t>
  </si>
  <si>
    <t>clothes15</t>
  </si>
  <si>
    <t>clothes16</t>
  </si>
  <si>
    <t>clothes17</t>
  </si>
  <si>
    <t>clothes18</t>
  </si>
  <si>
    <t>clothes19</t>
  </si>
  <si>
    <t>clothes20</t>
  </si>
  <si>
    <t>clothes21</t>
  </si>
  <si>
    <t>clothes22</t>
  </si>
  <si>
    <t>clothes23</t>
  </si>
  <si>
    <t>clothes24</t>
  </si>
  <si>
    <t>clothes25</t>
  </si>
  <si>
    <t>clothes26</t>
  </si>
  <si>
    <t>clothes27</t>
  </si>
  <si>
    <t>clothes28</t>
  </si>
  <si>
    <t>clothes29</t>
  </si>
  <si>
    <t>clothes30</t>
  </si>
  <si>
    <t>clothes31</t>
  </si>
  <si>
    <t>clothes32</t>
  </si>
  <si>
    <t>clothes33</t>
  </si>
  <si>
    <t>clothes34</t>
  </si>
  <si>
    <t>clothes35</t>
  </si>
  <si>
    <t>clothes36</t>
  </si>
  <si>
    <t>clothes37</t>
  </si>
  <si>
    <t>clothes38</t>
  </si>
  <si>
    <t>clothes39</t>
  </si>
  <si>
    <t>clothes40</t>
  </si>
  <si>
    <t>clothes41</t>
  </si>
  <si>
    <t>clothes42</t>
  </si>
  <si>
    <t>clothes43</t>
  </si>
  <si>
    <t>clothes44</t>
  </si>
  <si>
    <t>clothes45</t>
  </si>
  <si>
    <t>clothes46</t>
  </si>
  <si>
    <t>clothes47</t>
  </si>
  <si>
    <t>clothes48</t>
  </si>
  <si>
    <t>clothes49</t>
  </si>
  <si>
    <t>clothes50</t>
  </si>
  <si>
    <t>clothes51</t>
  </si>
  <si>
    <t>clothes52</t>
  </si>
  <si>
    <t>clothes53</t>
  </si>
  <si>
    <t>clothes54</t>
  </si>
  <si>
    <t>clothes55</t>
  </si>
  <si>
    <t>clothes56</t>
  </si>
  <si>
    <t>clothes57</t>
  </si>
  <si>
    <t>clothes58</t>
  </si>
  <si>
    <t>clothes59</t>
  </si>
  <si>
    <t>clothes60</t>
  </si>
  <si>
    <t>clothes61</t>
  </si>
  <si>
    <t>clothes62</t>
  </si>
  <si>
    <t>clothes63</t>
  </si>
  <si>
    <t>clothes64</t>
  </si>
  <si>
    <t>clothes65</t>
  </si>
  <si>
    <t>clothes66</t>
  </si>
  <si>
    <t>clothes67</t>
  </si>
  <si>
    <t>clothes68</t>
  </si>
  <si>
    <t>clothes69</t>
  </si>
  <si>
    <t>clothes70</t>
  </si>
  <si>
    <t>clothes71</t>
  </si>
  <si>
    <t>clothes72</t>
  </si>
  <si>
    <t>clothes73</t>
  </si>
  <si>
    <t>clothes74</t>
  </si>
  <si>
    <t>clothes75</t>
  </si>
  <si>
    <t>clothes76</t>
  </si>
  <si>
    <t>clothes77</t>
  </si>
  <si>
    <t>clothes78</t>
  </si>
  <si>
    <t>clothes79</t>
  </si>
  <si>
    <t>clothes80</t>
  </si>
  <si>
    <t>clothes81</t>
  </si>
  <si>
    <t>clothes82</t>
  </si>
  <si>
    <t>clothes83</t>
  </si>
  <si>
    <t>clothes84</t>
  </si>
  <si>
    <t>clothes85</t>
  </si>
  <si>
    <t>clothes86</t>
  </si>
  <si>
    <t>clothes87</t>
  </si>
  <si>
    <t>clothes88</t>
  </si>
  <si>
    <t>clothes89</t>
  </si>
  <si>
    <t>clothes90</t>
  </si>
  <si>
    <t>clothes91</t>
  </si>
  <si>
    <t>clothes92</t>
  </si>
  <si>
    <t>clothes93</t>
  </si>
  <si>
    <t>clothes94</t>
  </si>
  <si>
    <t>clothes95</t>
  </si>
  <si>
    <t>clothes96</t>
  </si>
  <si>
    <t>clothes97</t>
  </si>
  <si>
    <t>clothes98</t>
  </si>
  <si>
    <t>clothes99</t>
  </si>
  <si>
    <t>clothes100</t>
  </si>
  <si>
    <t>shoes01</t>
    <phoneticPr fontId="18" type="noConversion"/>
  </si>
  <si>
    <t>shoes</t>
    <phoneticPr fontId="18" type="noConversion"/>
  </si>
  <si>
    <t>신발</t>
    <phoneticPr fontId="18" type="noConversion"/>
  </si>
  <si>
    <t>shoes02</t>
  </si>
  <si>
    <t>shoes03</t>
  </si>
  <si>
    <t>shoes04</t>
  </si>
  <si>
    <t>shoes05</t>
  </si>
  <si>
    <t>shoes06</t>
  </si>
  <si>
    <t>shoes07</t>
  </si>
  <si>
    <t>shoes08</t>
  </si>
  <si>
    <t>shoes09</t>
  </si>
  <si>
    <t>shoes10</t>
  </si>
  <si>
    <t>shoes11</t>
  </si>
  <si>
    <t>shoes12</t>
  </si>
  <si>
    <t>shoes13</t>
  </si>
  <si>
    <t>shoes14</t>
  </si>
  <si>
    <t>shoes15</t>
  </si>
  <si>
    <t>shoes16</t>
  </si>
  <si>
    <t>shoes17</t>
  </si>
  <si>
    <t>shoes18</t>
  </si>
  <si>
    <t>shoes19</t>
  </si>
  <si>
    <t>shoes20</t>
  </si>
  <si>
    <t>shoes21</t>
  </si>
  <si>
    <t>shoes22</t>
  </si>
  <si>
    <t>shoes23</t>
  </si>
  <si>
    <t>shoes24</t>
  </si>
  <si>
    <t>shoes25</t>
  </si>
  <si>
    <t>shoes26</t>
  </si>
  <si>
    <t>shoes27</t>
  </si>
  <si>
    <t>shoes28</t>
  </si>
  <si>
    <t>shoes29</t>
  </si>
  <si>
    <t>shoes30</t>
  </si>
  <si>
    <t>shoes31</t>
  </si>
  <si>
    <t>shoes32</t>
  </si>
  <si>
    <t>shoes33</t>
  </si>
  <si>
    <t>shoes34</t>
  </si>
  <si>
    <t>shoes35</t>
  </si>
  <si>
    <t>shoes36</t>
  </si>
  <si>
    <t>shoes37</t>
  </si>
  <si>
    <t>shoes38</t>
  </si>
  <si>
    <t>shoes39</t>
  </si>
  <si>
    <t>shoes40</t>
  </si>
  <si>
    <t>shoes41</t>
  </si>
  <si>
    <t>shoes42</t>
  </si>
  <si>
    <t>shoes43</t>
  </si>
  <si>
    <t>shoes44</t>
  </si>
  <si>
    <t>shoes45</t>
  </si>
  <si>
    <t>shoes46</t>
  </si>
  <si>
    <t>shoes47</t>
  </si>
  <si>
    <t>shoes48</t>
  </si>
  <si>
    <t>shoes49</t>
  </si>
  <si>
    <t>shoes50</t>
  </si>
  <si>
    <t>shoes51</t>
  </si>
  <si>
    <t>shoes52</t>
  </si>
  <si>
    <t>shoes53</t>
  </si>
  <si>
    <t>shoes54</t>
  </si>
  <si>
    <t>shoes55</t>
  </si>
  <si>
    <t>shoes56</t>
  </si>
  <si>
    <t>shoes57</t>
  </si>
  <si>
    <t>shoes58</t>
  </si>
  <si>
    <t>shoes59</t>
  </si>
  <si>
    <t>shoes60</t>
  </si>
  <si>
    <t>shoes61</t>
  </si>
  <si>
    <t>shoes62</t>
  </si>
  <si>
    <t>shoes63</t>
  </si>
  <si>
    <t>shoes64</t>
  </si>
  <si>
    <t>shoes65</t>
  </si>
  <si>
    <t>shoes66</t>
  </si>
  <si>
    <t>shoes67</t>
  </si>
  <si>
    <t>shoes68</t>
  </si>
  <si>
    <t>shoes69</t>
  </si>
  <si>
    <t>shoes70</t>
  </si>
  <si>
    <t>shoes71</t>
  </si>
  <si>
    <t>shoes72</t>
  </si>
  <si>
    <t>shoes73</t>
  </si>
  <si>
    <t>shoes74</t>
  </si>
  <si>
    <t>shoes75</t>
  </si>
  <si>
    <t>shoes76</t>
  </si>
  <si>
    <t>shoes77</t>
  </si>
  <si>
    <t>shoes78</t>
  </si>
  <si>
    <t>shoes79</t>
  </si>
  <si>
    <t>shoes80</t>
  </si>
  <si>
    <t>shoes81</t>
  </si>
  <si>
    <t>shoes82</t>
  </si>
  <si>
    <t>shoes83</t>
  </si>
  <si>
    <t>shoes84</t>
  </si>
  <si>
    <t>shoes85</t>
  </si>
  <si>
    <t>shoes86</t>
  </si>
  <si>
    <t>shoes87</t>
  </si>
  <si>
    <t>shoes88</t>
  </si>
  <si>
    <t>shoes89</t>
  </si>
  <si>
    <t>shoes90</t>
  </si>
  <si>
    <t>shoes91</t>
  </si>
  <si>
    <t>shoes92</t>
  </si>
  <si>
    <t>shoes93</t>
  </si>
  <si>
    <t>shoes94</t>
  </si>
  <si>
    <t>shoes95</t>
  </si>
  <si>
    <t>shoes96</t>
  </si>
  <si>
    <t>shoes97</t>
  </si>
  <si>
    <t>shoes98</t>
  </si>
  <si>
    <t>shoes99</t>
  </si>
  <si>
    <t>shoes100</t>
  </si>
  <si>
    <t>etc01</t>
    <phoneticPr fontId="18" type="noConversion"/>
  </si>
  <si>
    <t>etc</t>
    <phoneticPr fontId="18" type="noConversion"/>
  </si>
  <si>
    <t>etc02</t>
  </si>
  <si>
    <t>etc03</t>
  </si>
  <si>
    <t>etc04</t>
  </si>
  <si>
    <t>etc05</t>
  </si>
  <si>
    <t>etc06</t>
  </si>
  <si>
    <t>etc07</t>
  </si>
  <si>
    <t>etc08</t>
  </si>
  <si>
    <t>etc09</t>
  </si>
  <si>
    <t>etc10</t>
  </si>
  <si>
    <t>etc11</t>
  </si>
  <si>
    <t>etc12</t>
  </si>
  <si>
    <t>etc13</t>
  </si>
  <si>
    <t>etc14</t>
  </si>
  <si>
    <t>etc15</t>
  </si>
  <si>
    <t>etc16</t>
  </si>
  <si>
    <t>etc17</t>
  </si>
  <si>
    <t>etc18</t>
  </si>
  <si>
    <t>etc19</t>
  </si>
  <si>
    <t>etc20</t>
  </si>
  <si>
    <t>etc21</t>
  </si>
  <si>
    <t>etc22</t>
  </si>
  <si>
    <t>etc23</t>
  </si>
  <si>
    <t>etc24</t>
  </si>
  <si>
    <t>etc25</t>
  </si>
  <si>
    <t>etc26</t>
  </si>
  <si>
    <t>etc27</t>
  </si>
  <si>
    <t>etc28</t>
  </si>
  <si>
    <t>etc29</t>
  </si>
  <si>
    <t>etc30</t>
  </si>
  <si>
    <t>etc31</t>
  </si>
  <si>
    <t>etc32</t>
  </si>
  <si>
    <t>etc33</t>
  </si>
  <si>
    <t>etc34</t>
  </si>
  <si>
    <t>etc35</t>
  </si>
  <si>
    <t>etc36</t>
  </si>
  <si>
    <t>etc37</t>
  </si>
  <si>
    <t>etc38</t>
  </si>
  <si>
    <t>etc39</t>
  </si>
  <si>
    <t>etc40</t>
  </si>
  <si>
    <t>etc41</t>
  </si>
  <si>
    <t>etc42</t>
  </si>
  <si>
    <t>etc43</t>
  </si>
  <si>
    <t>etc44</t>
  </si>
  <si>
    <t>etc45</t>
  </si>
  <si>
    <t>etc46</t>
  </si>
  <si>
    <t>etc47</t>
  </si>
  <si>
    <t>etc48</t>
  </si>
  <si>
    <t>etc49</t>
  </si>
  <si>
    <t>etc50</t>
  </si>
  <si>
    <t>etc51</t>
  </si>
  <si>
    <t>etc52</t>
  </si>
  <si>
    <t>etc53</t>
  </si>
  <si>
    <t>etc54</t>
  </si>
  <si>
    <t>etc55</t>
  </si>
  <si>
    <t>etc56</t>
  </si>
  <si>
    <t>etc57</t>
  </si>
  <si>
    <t>etc58</t>
  </si>
  <si>
    <t>etc59</t>
  </si>
  <si>
    <t>etc60</t>
  </si>
  <si>
    <t>etc61</t>
  </si>
  <si>
    <t>etc62</t>
  </si>
  <si>
    <t>etc63</t>
  </si>
  <si>
    <t>etc64</t>
  </si>
  <si>
    <t>etc65</t>
  </si>
  <si>
    <t>etc66</t>
  </si>
  <si>
    <t>etc67</t>
  </si>
  <si>
    <t>etc68</t>
  </si>
  <si>
    <t>etc69</t>
  </si>
  <si>
    <t>etc70</t>
  </si>
  <si>
    <t>etc71</t>
  </si>
  <si>
    <t>etc72</t>
  </si>
  <si>
    <t>etc73</t>
  </si>
  <si>
    <t>etc74</t>
  </si>
  <si>
    <t>etc75</t>
  </si>
  <si>
    <t>etc76</t>
  </si>
  <si>
    <t>etc77</t>
  </si>
  <si>
    <t>etc78</t>
  </si>
  <si>
    <t>etc79</t>
  </si>
  <si>
    <t>etc80</t>
  </si>
  <si>
    <t>etc81</t>
  </si>
  <si>
    <t>etc82</t>
  </si>
  <si>
    <t>etc83</t>
  </si>
  <si>
    <t>etc84</t>
  </si>
  <si>
    <t>etc85</t>
  </si>
  <si>
    <t>etc86</t>
  </si>
  <si>
    <t>etc87</t>
  </si>
  <si>
    <t>etc88</t>
  </si>
  <si>
    <t>etc89</t>
  </si>
  <si>
    <t>etc90</t>
  </si>
  <si>
    <t>etc91</t>
  </si>
  <si>
    <t>etc92</t>
  </si>
  <si>
    <t>etc93</t>
  </si>
  <si>
    <t>etc94</t>
  </si>
  <si>
    <t>etc95</t>
  </si>
  <si>
    <t>etc96</t>
  </si>
  <si>
    <t>etc97</t>
  </si>
  <si>
    <t>etc98</t>
  </si>
  <si>
    <t>etc99</t>
  </si>
  <si>
    <t>etc100</t>
  </si>
  <si>
    <t>show</t>
    <phoneticPr fontId="18" type="noConversion"/>
  </si>
  <si>
    <t>귀여운 리본 실루엣이 돋보이는 디자인으로, 작지만 확실한 포인트를 줄 수 있는 상품입니다.  
부드러운 양가죽 소재감과 섬세한 자수 디테일이 더해져 고급스러운 분위기를 연출해줍니다.
가방이나 소지품에 포인트로 매치하기 좋고, 선물용으로도 추천드리는 아이템입니다.
사이즈: 11.5 × 9 × 2cm</t>
    <phoneticPr fontId="18" type="noConversion"/>
  </si>
  <si>
    <t>핑크:pink|화이트:white</t>
    <phoneticPr fontId="18" type="noConversion"/>
  </si>
  <si>
    <t>베이지:beige|레드:red</t>
    <phoneticPr fontId="18" type="noConversion"/>
  </si>
  <si>
    <t>추가색상 상담 후 옵션 확인</t>
    <phoneticPr fontId="18" type="noConversion"/>
  </si>
  <si>
    <t>고급스러운 자수 포인트</t>
  </si>
  <si>
    <t>리본 포인트 아이템</t>
  </si>
  <si>
    <t>부드러운 양가죽 소재감과 섬세한 자수 디테일이 돋보이는 리본 포인트 아이템입니다. 사랑스러운 디자인에 고급스러운 분위기가 더해져 가방이나 소지품에 포인트로 매치하기 좋으며, 데일리용과 선물용 모두 추천드립니다. 사이즈는 19.5 × 10.5 × 3cm입니다.</t>
    <phoneticPr fontId="18" type="noConversion"/>
  </si>
  <si>
    <t>모노그램 캔버스 워시백</t>
  </si>
  <si>
    <t>클래식한 모노그램 캔버스 패턴이 돋보이는 워시백입니다. 조절 가능한 숄더 스트랩이 있어 파우치백처럼 연출할 수 있으며, 내부에는 카드 수납공간과 립스틱 포켓이 있어 작은 소지품을 깔끔하게 정리하기 좋습니다. 세척이 쉬운 안감 소재로 실용성을 더했으며, 핸드백 안에 넣기 좋은 사이즈감으로 데일리 파우치나 여행용 세면 파우치로 활용하기 좋은 아이템입니다.</t>
  </si>
  <si>
    <t>블랙:black|화이트:white</t>
    <phoneticPr fontId="18" type="noConversion"/>
  </si>
  <si>
    <t>블랙:black|브라운:brown|멀티:multi|화이트:white</t>
    <phoneticPr fontId="18" type="noConversion"/>
  </si>
  <si>
    <t>원가</t>
    <phoneticPr fontId="18" type="noConversion"/>
  </si>
  <si>
    <t>위안화</t>
    <phoneticPr fontId="18" type="noConversion"/>
  </si>
  <si>
    <t>미니 동전지갑</t>
  </si>
  <si>
    <t>입체감 있는 캐비어 텍스처의 소가죽 소재가 돋보이는 미니 동전지갑입니다. 작고 가벼운 사이즈로 휴대성이 좋으며, 카드나 동전, 작은 소지품을 간편하게 보관하기 좋습니다. 블랙 컬러에 실버 포인트 장식이 더해져 깔끔하고 세련된 분위기를 연출해줍니다. 사이즈는 11.3 × 7.5 × 2.1cm입니다.</t>
    <phoneticPr fontId="18" type="noConversion"/>
  </si>
  <si>
    <t>카드지갑</t>
  </si>
  <si>
    <t>심플하고 차분한 디자인에 클래식한 위빙 디테일이 더해진 카드지갑입니다. 부드럽고 섬세한 촉감이 느껴지는 소재감으로 손에 쥐었을 때 만족감이 좋으며, 얇은 두께감으로 가방이나 주머니 안에서도 부담 없이 휴대하기 좋습니다. 신분증, 카드, 명함 등 필요한 소지품을 간편하게 수납하기 좋은 실용적인 아이템입니다. 사이즈는 10.5 × 8 × 0.5cm입니다.</t>
    <phoneticPr fontId="18" type="noConversion"/>
  </si>
  <si>
    <t>블랙:black|브라운:brown</t>
    <phoneticPr fontId="18" type="noConversion"/>
  </si>
  <si>
    <t>블랙:black|엘로우:yellow</t>
    <phoneticPr fontId="18" type="noConversion"/>
  </si>
  <si>
    <t>마이야르 아이스크림 고양이 키링</t>
  </si>
  <si>
    <t>아이스크림을 든 고양이 디자인이 귀여운 포인트 키링입니다.</t>
  </si>
  <si>
    <t>드로스트링 더스트백</t>
  </si>
  <si>
    <t>클래식한 위빙 디자인에 드로스트링 디테일이 더해진 복조리백입니다. 입구 부분의 자연스러운 주름감과 부드럽고 매끄러운 소재감이 어우러져 여유롭고 세련된 분위기를 연출해줍니다. 가벼운 무게감에 수납력도 넉넉해 데일리백으로 활용하기 좋으며, 편안하면서도 고급스러운 스타일링에 잘 어울리는 아이템입니다. 사이즈는 30 × 10 × 23cm입니다.</t>
  </si>
  <si>
    <t>일곱가지 색상 선택이 가능한 백입니다.</t>
    <phoneticPr fontId="18" type="noConversion"/>
  </si>
  <si>
    <t>펀칭 라운드 토트백</t>
  </si>
  <si>
    <t>라운드 패턴의 펀칭 디테일이 돋보이는 토트백입니다. 입체감 있는 컷아웃 디자인으로 가볍고 산뜻한 분위기를 연출해주며, 고급스러운 소가죽 소재감이 더해져 탄탄하고 세련된 느낌을 줍니다. 손에 들기 좋은 토트백으로도, 스트랩을 활용한 크로스백으로도 연출할 수 있어 데일리룩과 포인트 코디에 다양하게 활용하기 좋습니다. 사이즈는 25 × 20 × 12cm입니다.</t>
    <phoneticPr fontId="18" type="noConversion"/>
  </si>
  <si>
    <t>베이지:beige|블랙:black|브라운:brown|다크브라운:darkbrown|핑크:pink|레드:red|하늘:skyblue</t>
    <phoneticPr fontId="18" type="noConversion"/>
  </si>
  <si>
    <t>블랙:black|화이트:whiite</t>
    <phoneticPr fontId="18" type="noConversion"/>
  </si>
  <si>
    <t>라운드 패턴의 펀칭 디테일이 돋보이는 토트백입니다. 입체감 있는 컷아웃 디자인으로 가볍고 산뜻한 분위기를 연출해주며, 고급스러운 소가죽 소재감이 더해져 탄탄하고 세련된 느낌을 줍니다. 손에 들기 좋은 토트백으로도, 스트랩을 활용한 크로스백으로도 연출할 수 있어 데일리룩과 포인트 코디에 다양하게 활용하기 좋습니다. 사이즈는 25 × 20 × 12cm입니다. 상품번호는 6686입니다.</t>
    <phoneticPr fontId="18" type="noConversion"/>
  </si>
  <si>
    <t>블랙:black|브라운:brown|핑크:pink|화이트:whiite</t>
    <phoneticPr fontId="18" type="noConversion"/>
  </si>
  <si>
    <t>빈티지 스타 스니커즈</t>
  </si>
  <si>
    <t>빈티지한 무드의 워싱 디테일이 돋보이는 캐주얼 스니커즈입니다. 수작업 느낌의 자연스러운 사용감 표현과 탄탄한 마감으로 포인트 있는 스타일을 연출하기 좋습니다. 내부는 부드러운 착화감을 고려한 소재로 구성되었으며, 약 3.5cm 키높이 인솔은 탈부착이 가능해 취향에 따라 조절할 수 있습니다. 캐주얼룩, 데님룩, 데일리 코디에 잘 어울리는 활용도 높은 스니커즈입니다. 상품번호는 2533022입니다.</t>
  </si>
  <si>
    <t>커스텀 로우 스니커즈</t>
  </si>
  <si>
    <t>데일리로 신기 좋은 로우탑 캐주얼 스니커즈입니다. 깔끔한 실루엣과 안정적인 착화감이 돋보이며, 디테일한 자수 포인트와 정돈된 마감으로 완성도를 높인 아이템입니다. 부담 없이 다양한 코디에 매치하기 좋고, 캐주얼룩이나 스트릿룩에 자연스럽게 어울리는 활용도 높은 스니커즈입니다. 상품번호는 JP1628 019 / 2538224입니다.</t>
  </si>
  <si>
    <t>로우탑 트레이너 스니커즈</t>
  </si>
  <si>
    <t>데일리로 신기 좋은 로우탑 캐주얼 스니커즈입니다. 스포티하면서도 깔끔한 디자인으로 캐주얼룩, 스트릿룩, 데님 코디에 자연스럽게 어울리며 사계절 활용하기 좋은 아이템입니다. 안정적인 실루엣과 편안한 착화감으로 일상에서 부담 없이 착용하기 좋습니다. 사이즈는 36부터 46까지 선택 가능합니다. 상품번호는 HL581400618 / 06JXD778A18입니다.</t>
  </si>
  <si>
    <t>캐주얼한 디자인과 스포티한 분위기가 돋보이는 로우탑 트레이너 스니커즈입니다. 깔끔한 실루엣으로 데님, 조거팬츠, 캐주얼룩에 자연스럽게 매치하기 좋으며, 데일리로 부담 없이 착용하기 좋은 아이템입니다. 다양한 스타일에 활용하기 좋은 기본 스니커즈로 사계절 코디에 잘 어울립니다. 사이즈는 37부터 45까지 선택 가능합니다. 상품번호는 D49260615입니다.</t>
  </si>
  <si>
    <t>메쉬 러닝 스니커즈</t>
  </si>
  <si>
    <t>통기성 좋은 메쉬 소재가 적용된 캐주얼 러닝 스니커즈입니다. 가볍고 편안한 착화감으로 데일리 슈즈로 활용하기 좋으며, 쿠션감 있는 미드솔이 더해져 장시간 착용에도 부담을 줄여줍니다. 심플하면서도 스포티한 디자인으로 캐주얼룩, 스트릿룩, 운동복 코디에 자연스럽게 어울리는 아이템입니다. 사이즈는 36부터 48까지 선택 가능합니다. 상품번호는 NI7433 / D19240611입니다.</t>
  </si>
  <si>
    <t>라인업 토트 크로스백</t>
  </si>
  <si>
    <t>고급스러운 소재감과 깔끔한 실루엣이 돋보이는 토트 겸 크로스백입니다. 은은한 포인트 디테일이 더해져 세련된 분위기를 연출해주며, 23 × 22cm 사이즈로 데일리로 들기 부담 없는 크기감입니다. 손에 들기 좋은 토트백으로도, 스트랩을 활용한 크로스백으로도 연출할 수 있어 다양한 코디에 활용하기 좋은 아이템입니다.</t>
  </si>
  <si>
    <t>bag14</t>
    <phoneticPr fontId="18" type="noConversion"/>
  </si>
  <si>
    <t>bag15</t>
    <phoneticPr fontId="18" type="noConversion"/>
  </si>
  <si>
    <t>두가지 색상</t>
    <phoneticPr fontId="18" type="noConversion"/>
  </si>
  <si>
    <t>스몰 쇼핑 토트백</t>
  </si>
  <si>
    <t>업그레이드된 디자인으로 선보이는 스몰 사이즈 쇼핑 토트백입니다. 깔끔한 실루엣과 정교한 마감이 돋보이며, 29 × 25 × 14cm 사이즈로 데일리 소지품을 넣기 좋은 실용적인 크기감입니다. 손에 들기 좋은 쇼핑백 스타일로 가볍게 매치하기 좋고, 데일리룩에 자연스럽게 어울리는 아이템입니다.</t>
  </si>
  <si>
    <t>미니 보스턴 토트백</t>
  </si>
  <si>
    <t>bag16</t>
  </si>
  <si>
    <t>bag17</t>
  </si>
  <si>
    <t>bag18</t>
  </si>
  <si>
    <t>bag19</t>
  </si>
  <si>
    <t>bag20</t>
  </si>
  <si>
    <t>bag21</t>
  </si>
  <si>
    <t>bag22</t>
  </si>
  <si>
    <t>bag23</t>
  </si>
  <si>
    <t>bag24</t>
  </si>
  <si>
    <t>미니 사이즈로 들기 좋은 보스턴 스타일 토트백입니다. 부드러운 소가죽 소재감과 탄탄한 실루엣이 돋보이며, 22cm 크기로 데일리 소지품을 가볍게 담기 좋은 아이템입니다. 손에 들기 좋은 디자인으로 캐주얼룩부터 여성스러운 코디까지 자연스럽게 매치하기 좋습니다. 한정 수량으로 진행되는 클리어런스 상품입니다.</t>
  </si>
  <si>
    <t>레더 미니 버킷백</t>
  </si>
  <si>
    <t>깔끔한 실루엣과 부드러운 소가죽 소재감이 돋보이는 미니 버킷백입니다. 20 × 18cm 사이즈로 작지만 수납력이 좋아 데일리 소지품을 담기 좋으며, 손에 들기 좋은 토트백으로도 스트랩을 활용한 크로스백으로도 연출할 수 있습니다. 매끄러운 가죽 질감과 섬세한 디테일이 더해져 데일리룩에 고급스러운 포인트를 주기 좋은 아이템입니다.</t>
  </si>
  <si>
    <t>소프트 레더 미니 버킷백</t>
  </si>
  <si>
    <t>부드럽고 유연한 양가죽 소재감이 돋보이는 미니 버킷백입니다. 드로스트링 입구 디자인으로 자연스러운 주름감이 연출되며, 자석 버튼 여밈으로 간편하게 사용할 수 있습니다. 26 × 18 × 12.5cm 사이즈로 데일리 소지품을 담기 좋은 실용적인 크기감이며, 가볍고 여성스러운 분위기로 다양한 코디에 매치하기 좋은 아이템입니다.</t>
  </si>
  <si>
    <t>베이지:beige|화이트:whiite</t>
    <phoneticPr fontId="18" type="noConversion"/>
  </si>
  <si>
    <t>레더 플랫 슬리퍼</t>
  </si>
  <si>
    <t>봄 시즌 가볍게 착용하기 좋은 플랫 슬리퍼입니다. 부드러운 양가죽 소재가 사용되어 발에 닿는 착화감이 편안하며, 폭신한 질감과 깔끔한 실루엣이 돋보입니다. 앞부분의 포인트 장식과 자수 디테일이 더해져 세련된 분위기를 연출해주며, 데일리룩이나 여성스러운 코디에 자연스럽게 매치하기 좋은 아이템입니다. 미끄럼 방지와 내구성을 고려한 고무 밑창으로 실용성도 갖췄습니다.</t>
    <phoneticPr fontId="18" type="noConversion"/>
  </si>
  <si>
    <t>봄 시즌 가볍게 착용하기 좋은 플랫 슬리퍼입니다. 부드러운 양가죽 소재와 폭신한 착화감이 돋보이며, 발에 닿는 느낌이 편안해 데일리로 신기 좋은 아이템입니다. 심플한 단색 디자인에 포인트 장식과 자수 디테일이 더해져 세련된 분위기를 연출해주며, 여성스럽고 고급스러운 코디에 자연스럽게 어울립니다. 미끄럼 방지와 내구성을 고려한 고무 밑창으로 실용성도 갖췄습니다.</t>
  </si>
  <si>
    <t>썸머 플립플랍 슬리퍼</t>
  </si>
  <si>
    <t>봄여름 시즌 가볍게 착용하기 좋은 플립플랍 스타일 슬리퍼입니다. 발등을 편하게 잡아주는 심플한 디자인으로 데일리룩, 휴양지룩, 캐주얼 코디에 자연스럽게 매치하기 좋습니다. 가볍고 편안한 착화감으로 부담 없이 신기 좋으며, 여름철 데일리 슈즈로 활용도 높은 아이템입니다.</t>
  </si>
  <si>
    <t>40mm벨트</t>
    <phoneticPr fontId="18" type="noConversion"/>
  </si>
  <si>
    <t>블랙:black|실버:silver</t>
    <phoneticPr fontId="18" type="noConversion"/>
  </si>
  <si>
    <t>색상 상담 후 옵션 확인</t>
    <phoneticPr fontId="18" type="noConversion"/>
  </si>
  <si>
    <t>여성용 벨트 18mm</t>
    <phoneticPr fontId="18" type="noConversion"/>
  </si>
  <si>
    <t>베이지:beige|블랙:black|브라운:brown</t>
    <phoneticPr fontId="18" type="noConversion"/>
  </si>
  <si>
    <t>여성용 벨트 32mm</t>
    <phoneticPr fontId="18" type="noConversion"/>
  </si>
  <si>
    <t>모델번호 66011523</t>
    <phoneticPr fontId="18" type="noConversion"/>
  </si>
  <si>
    <t>모델번호 242455</t>
    <phoneticPr fontId="18" type="noConversion"/>
  </si>
  <si>
    <t>모델번호 66011896</t>
    <phoneticPr fontId="18" type="noConversion"/>
  </si>
  <si>
    <t>모노그램 이스트 웨스트 토트백</t>
  </si>
  <si>
    <t>도시적인 출퇴근룩에 잘 어울리는 이스트 웨스트 스타일의 토트백입니다. 모노그램 패턴 캔버스와 가죽 트리밍 조합으로 고급스러운 분위기를 더했으며, 내부 포켓과 여유 있는 수납공간으로 휴대폰, 카드지갑 등 데일리 소지품 보관이 편리합니다. 포인트 잠금 장식으로 세련된 디테일을 완성했습니다. 모델번호 163c01 칩 내장 반스틸 하드웨어 사이즈 29 x 14 x 8cm</t>
    <phoneticPr fontId="18" type="noConversion"/>
  </si>
  <si>
    <t>다미에 아주르 보스턴백 30</t>
  </si>
  <si>
    <t>베이지:beige|블랙:black|레드:red|화이트:white</t>
    <phoneticPr fontId="18" type="noConversion"/>
  </si>
  <si>
    <t>블룸 체인 월렛백</t>
  </si>
  <si>
    <t>세련되고 실용적인 구조가 돋보이는 체인 월렛백입니다. 부드러운 가죽 소재로 제작되어 고급스러운 분위기를 더했으며, 클래식한 모노그램 패턴에서 영감을 받은 장식 디테일이 포인트가 됩니다. 스마트폰과 데일리 소지품을 보관하기 좋은 수납공간을 갖췄고, 대비감 있는 메탈 장식으로 우아한 무드를 완성했습니다. 모델번호 M14564 블랙, M14547 블루, M14581 베이지, M14548 로즈 모델번호 163c01 칩 내장 반스틸 하드웨어 전체 가죽 사이즈 11.5 x 4 x 20cm</t>
    <phoneticPr fontId="18" type="noConversion"/>
  </si>
  <si>
    <t>파라슈트 미니 토트백</t>
  </si>
  <si>
    <t>클래식한 위빙 패턴과 매듭 디테일이 돋보이는 파라슈트 스타일의 미니 토트백입니다. 탈부착 가능한 숄더 스트랩이 있어 크로스백, 토트백, 숄더백 등 다양한 방식으로 연출할 수 있으며, 컴팩트한 사이즈감으로 데일리룩에 가볍게 매치하기 좋습니다. 모델번호 S0211 사이즈 16.5 x 21 x 17cm</t>
  </si>
  <si>
    <t>파라슈트 라지 토트백</t>
  </si>
  <si>
    <t>여유 있는 수납공간과 감각적인 실루엣이 돋보이는 파라슈트 스타일의 라지 토트백입니다. 내부에는 탈부착 가능한 지퍼 포켓이 구성되어 실용성을 높였으며, 작은 노트북이나 아이패드 등 데일리 소지품을 넉넉하게 보관하기 좋습니다. 넓은 공간감에도 착용 시 부해 보이지 않아 데일리백으로 활용하기 좋은 아이템입니다. 모델번호 S0211-1 사이즈 26 x 30 x 20cm</t>
  </si>
  <si>
    <t>메탈 체인 안디아모 토트백</t>
  </si>
  <si>
    <t>클래식한 안디아모 스타일에 메탈 체인 디테일을 더한 토트백입니다. 고급스러운 위빙 패턴과 세련된 체인 포인트가 어우러져 데일리룩부터 포멀한 스타일링까지 다양하게 매치하기 좋습니다. 적당한 수납공간과 안정적인 쉐입으로 실용성과 분위기를 함께 갖춘 아이템입니다. 모델번호 S05022-1 사이즈 20 x 25 x 10cm</t>
    <phoneticPr fontId="18" type="noConversion"/>
  </si>
  <si>
    <t>bag25</t>
  </si>
  <si>
    <t>bag26</t>
  </si>
  <si>
    <t>bag27</t>
  </si>
  <si>
    <t>bag28</t>
  </si>
  <si>
    <t>bag29</t>
  </si>
  <si>
    <t>bag30</t>
  </si>
  <si>
    <t>bag31</t>
  </si>
  <si>
    <t>bag32</t>
  </si>
  <si>
    <t>bag33</t>
  </si>
  <si>
    <t>캔버스 미니 백팩</t>
  </si>
  <si>
    <t>가볍고 부담 없이 착용하기 좋은 캔버스 소재의 백팩입니다. 컴팩트하면서도 실용적인 수납공간을 갖춰 데일리백으로 활용하기 좋으며, 둔탁하지 않은 깔끔한 실루엣으로 캐주얼룩에 자연스럽게 매치됩니다. 사이즈 대형 29.5 x 25 x 12.5cm, 소형 22 x 18 x 11.5cm</t>
  </si>
  <si>
    <t>작은가방:beige|큰가방:black</t>
    <phoneticPr fontId="18" type="noConversion"/>
  </si>
  <si>
    <t>상담 후 옵션 확인 큰가방 594,000</t>
    <phoneticPr fontId="18" type="noConversion"/>
  </si>
  <si>
    <t>크리스탈 장식 스트랩 힐</t>
  </si>
  <si>
    <t>구두와샌들</t>
    <phoneticPr fontId="18" type="noConversion"/>
  </si>
  <si>
    <t>은은한 광택감의 실크 소재와 섬세한 크리스탈 장식 버클이 돋보이는 스트랩 힐입니다. 슬림하고 우아한 라인으로 세련된 분위기를 연출해주며, 양가죽 인솔과 가죽 아웃솔 구성으로 착화감을 높였습니다. 특별한 날 포인트 슈즈로 활용하기 좋은 아이템입니다. 굽높이 10.5cm, 7.5cm 맞춤 가능 맞춤 제작 상품은 교환 및 반품 불가</t>
    <phoneticPr fontId="18" type="noConversion"/>
  </si>
  <si>
    <t>은은한 광택감의 실크 소재와 섬세한 크리스탈 장식 버클이 돋보이는 스트랩 힐입니다. 슬림하고 우아한 라인으로 세련된 분위기를 연출해주며, 양가죽 인솔과 가죽 아웃솔 구성으로 착화감을 높였습니다. 특별한 날 포인트 슈즈로 활용하기 좋은 아이템입니다. 굽높이 7.5cm, 10.5cm 맞춤 가능 맞춤 제작 상품은 교환 및 반품 불가</t>
  </si>
  <si>
    <t>블랙:black|핑크:pink|하늘색:skyblue|흰색:white|옐로우:yellow</t>
    <phoneticPr fontId="18" type="noConversion"/>
  </si>
  <si>
    <t>로고 포인트 벨벳 슬링백 힐</t>
  </si>
  <si>
    <t>클래식한 로고 포인트가 돋보이는 슬링백 스타일의 힐입니다. 뒤꿈치를 눌러 뮬처럼 착용할 수 있어 한 가지 슈즈로 두 가지 연출이 가능하며, 팬츠와 스커트 모두 자연스럽게 매치하기 좋습니다. 벨벳 또는 패브릭 소재의 갑피와 은은한 실버 포인트, 슬림한 키튼힐 라인이 어우러져 우아하면서도 세련된 분위기를 완성합니다. 가죽 아웃솔 구성으로 고급스러운 착화감을 더했습니다. 굽높이 8.5cm</t>
  </si>
  <si>
    <t>베이지:beige|블루:blue|브라운:brown|그린:green|레드:red</t>
    <phoneticPr fontId="18" type="noConversion"/>
  </si>
  <si>
    <t>다양한신발</t>
    <phoneticPr fontId="18" type="noConversion"/>
  </si>
  <si>
    <t>메쉬 포인트 미들힐</t>
  </si>
  <si>
    <t>섬세한 메쉬 소재와 고급스러운 메탈 버클 디테일이 돋보이는 미들힐입니다. 안정감 있는 4.5cm 굽으로 편안한 착화감을 주며, 데님 팬츠부터 자켓, 스커트까지 다양한 스타일에 자연스럽게 매치하기 좋습니다. 양가죽 안감과 가죽 아웃솔 구성으로 완성도를 높였습니다. 굽높이 4.5cm 맞춤 제작 사이즈는 교환 및 반품 불가</t>
  </si>
  <si>
    <t>클로버 포인트 5모티브 팔찌</t>
  </si>
  <si>
    <t>여성스러운 무드가 돋보이는 클로버 포인트 체인 팔찌입니다. 다섯 개의 플라워형 모티브가 손목을 따라 자연스럽게 이어져 단독 착용은 물론 다른 팔찌와 레이어드하기에도 좋습니다. 데일리룩부터 특별한 날 스타일링까지 은은하게 포인트 주기 좋은 아이템입니다.</t>
  </si>
  <si>
    <t>가격모름
잡화상</t>
    <phoneticPr fontId="18" type="noConversion"/>
  </si>
  <si>
    <t>레이어드 포인트 주얼리 세트</t>
  </si>
  <si>
    <t>감각적인 스타일링이 돋보이는 포인트 주얼리 아이템입니다. 은은한 체인과 컬러감 있는 모티브가 조화롭게 어우러져 손목에 세련된 분위기를 더해주며, 단독 착용은 물론 여러 개를 함께 레이어드해도 자연스럽게 연출됩니다. 데일리룩부터 특별한 날까지 가볍게 포인트 주기 좋은 액세서리입니다.</t>
  </si>
  <si>
    <t>데일리 오버핏 선글라스</t>
  </si>
  <si>
    <t>트렌디한 감성과 세련된 실루엣이 돋보이는 데일리 선글라스입니다. 다양한 스타일에 부담 없이 매치하기 좋으며, 캐주얼룩부터 포멀한 코디까지 자연스럽게 어울립니다. 얼굴형을 부드럽게 커버해 주는 디자인으로 데일리 아이템은 물론 여행이나 휴양지에서도 포인트 아이템으로 활용하기 좋습니다.</t>
  </si>
  <si>
    <t>데일리 포인트 실크 스카프</t>
  </si>
  <si>
    <t>복잡한 액세서리 없이도 스타일에 감각적인 포인트를 더해주는 미니 실크 스카프입니다. 목에 가볍게 두르거나 가방, 헤어 포인트로 연출하기 좋으며, 심플한 데일리룩에 세련된 분위기를 더해줍니다. 작지만 활용도 높은 아이템으로 다양한 코디에 부담 없이 매치하기 좋습니다.</t>
  </si>
  <si>
    <t>마음이 끌리는 감각적인 포인트</t>
  </si>
  <si>
    <t>마들렌 BB 모노그램 토트백</t>
  </si>
  <si>
    <t>클래식 모노그램 캔버스 소재로 제작되어 실용성과 우아한 분위기를 함께 담은 마들렌 BB 핸드백입니다. 플랩 디자인과 핸들, 키 파우치 디테일이 가죽 트리밍과 조화를 이루며, 포인트가 되는 S-lock 잠금 장식으로 클래식한 무드를 더했습니다. 상급 원단과 반강도 하드웨어, 내장 칩 적용 제품입니다. 사이즈: 24.5 x 16 x 8cm</t>
    <phoneticPr fontId="18" type="noConversion"/>
  </si>
  <si>
    <t>미니그램 올 인 BB 버킷백</t>
  </si>
  <si>
    <t>미니그램 라인의 올 인 BB 백으로, 새로운 컬러감이 돋보이는 제품입니다. 부드럽고 매끄러운 소가죽 소재로 제작되었으며, 섬세한 시그니처 패턴이 고급스러운 분위기를 더해줍니다. 버킷백 형태의 실루엣에 사이드 주소 태그와 자물쇠 디테일을 더해 포인트를 주었고, 넉넉한 수납공간으로 데일리 소지품을 보관하기 좋습니다. 탈부착 가능한 숄더 스트랩으로 숄더백과 크로스백 등 다양한 방식으로 연출할 수 있습니다. 반강도 하드웨어와 칩 디테일 적용 제품입니다. 사이즈: 16 x 18 x 12cm</t>
  </si>
  <si>
    <t>베이지:beige|핑크:pink</t>
    <phoneticPr fontId="18" type="noConversion"/>
  </si>
  <si>
    <t>호보 블랙 나일론 방수 데일리백</t>
  </si>
  <si>
    <t>블랙 나일론 방수 원단으로 제작되어 가볍고 실용적인 데일리백입니다. 30×25cm 사이즈로 일상 소지품 수납에 좋으며, 숄더 스트랩과 손잡이 동일한 나일론 소재로 제작되었습니다. 누구에게나 잘 어울리는 깔끔한 호보백 디자인입니다.</t>
    <phoneticPr fontId="18" type="noConversion"/>
  </si>
  <si>
    <t>빈티지 스웨이드 필로우백</t>
  </si>
  <si>
    <t>빈티지한 무드가 돋보이는 필로우백입니다. 전체 바디가 올가죽 소재로 제작되었으며, 부드러운 촉감의 스웨이드 가죽으로 고급스러운 느낌을 더했습니다. 28cm의 활용도 좋은 황금 사이즈로 데일리하게 들기 좋고, 숄더 스트랩이 있어 크로스백으로도 착용 가능합니다.</t>
    <phoneticPr fontId="18" type="noConversion"/>
  </si>
  <si>
    <t>다크브라운:a|브라운:b</t>
    <phoneticPr fontId="18" type="noConversion"/>
  </si>
  <si>
    <t>클래식 빈티지 쇼핑백</t>
  </si>
  <si>
    <t>클래식 라인의 빈티지한 무드가 돋보이는 쇼핑백입니다. 감성적인 레트로 디자인에 여유로운 실루엣이 더해져 데일리하게 들기 좋으며, 고급스러운 첫층 소가죽 소재로 제작되어 퀄리티가 뛰어난 버전입니다. 숄더 스트랩은 길이 조절이 가능해 숄더백은 물론 크로스백으로도 착용 가능합니다. 사이즈는 32×34×15cm이며, 입구 너비는 42cm입니다.</t>
    <phoneticPr fontId="18" type="noConversion"/>
  </si>
  <si>
    <t>여성구두</t>
    <phoneticPr fontId="18" type="noConversion"/>
  </si>
  <si>
    <t>여성샌들</t>
    <phoneticPr fontId="18" type="noConversion"/>
  </si>
  <si>
    <t>bag34</t>
  </si>
  <si>
    <t>bag35</t>
  </si>
  <si>
    <t>bag36</t>
  </si>
  <si>
    <t>bag37</t>
  </si>
  <si>
    <t>bag38</t>
  </si>
  <si>
    <t>bag39</t>
  </si>
  <si>
    <t>bag40</t>
  </si>
  <si>
    <t>bag41</t>
  </si>
  <si>
    <t>bag42</t>
  </si>
  <si>
    <t>bag43</t>
  </si>
  <si>
    <t>체크 체인 미니 숄더백</t>
  </si>
  <si>
    <t>클래식한 체크 패턴에 골드 체인 디테일을 더한 미니 숄더백입니다. 작은 사이즈지만 포인트 아이템으로 활용하기 좋고, 데일리룩부터 여성스러운 코디까지 자연스럽게 매치됩니다. 체인 스트랩으로 고급스러운 분위기를 살렸으며 가볍게 들기 좋은 미니백 스타일입니다.</t>
  </si>
  <si>
    <t>포인트 나일론 슬링백</t>
  </si>
  <si>
    <t>깔끔한 블랙 컬러에 로고 밴드 포인트가 더해진 슬링백입니다. 가볍고 실용적인 나일론 소재감으로 데일리 착용에 좋으며, 허리백 또는 크로스백 스타일로 활용할 수 있습니다. 심플한 디자인에 포인트 스트랩 디테일이 더해져 캐주얼룩과 스트릿 코디에 자연스럽게 매치됩니다.</t>
    <phoneticPr fontId="18" type="noConversion"/>
  </si>
  <si>
    <t>체크 배색 로고 슬링백</t>
  </si>
  <si>
    <t>클래식한 체크 패턴에 로고 밴드 포인트를 더한 슬링백입니다. 넉넉한 수납감과 가벼운 착용감으로 데일리백으로 활용하기 좋으며, 크로스백 또는 허리백 스타일로 자연스럽게 연출할 수 있습니다. 캐주얼룩과 스트릿 코디에 포인트 주기 좋은 아이템입니다.</t>
  </si>
  <si>
    <t>심플 레더 미니 크로스백</t>
  </si>
  <si>
    <t>깔끔한 블랙 컬러와 군더더기 없는 사각 쉐입이 돋보이는 미니 크로스백입니다. 전면 포켓 디테일로 실용성을 더했으며, 가벼운 사이즈감으로 데일리 착용에 좋습니다. 캐주얼룩부터 미니멀한 코디까지 자연스럽게 매치하기 좋은 아이템입니다.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</si>
</sst>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3" fontId="0" fillId="0" borderId="0" xfId="0" applyNumberFormat="1">
      <alignment vertical="center"/>
    </xf>
    <xf numFmtId="0" fontId="19" fillId="0" borderId="0" xfId="0" applyFont="1">
      <alignment vertical="center"/>
    </xf>
    <xf numFmtId="0" fontId="20" fillId="0" borderId="0" xfId="0" applyFont="1" applyAlignment="1">
      <alignment vertical="center" wrapText="1"/>
    </xf>
    <xf numFmtId="0" fontId="20" fillId="0" borderId="0" xfId="0" applyFont="1">
      <alignment vertical="center"/>
    </xf>
    <xf numFmtId="176" fontId="0" fillId="0" borderId="0" xfId="0" applyNumberFormat="1">
      <alignment vertical="center"/>
    </xf>
    <xf numFmtId="0" fontId="0" fillId="33" borderId="0" xfId="0" applyFill="1">
      <alignment vertical="center"/>
    </xf>
    <xf numFmtId="0" fontId="0" fillId="34" borderId="0" xfId="0"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DA53-A66D-4089-98E9-BD61446412BD}">
  <dimension ref="A1:P44"/>
  <sheetViews>
    <sheetView tabSelected="1" workbookViewId="0">
      <pane ySplit="1" topLeftCell="A23" activePane="bottomLeft" state="frozen"/>
      <selection pane="bottomLeft" activeCell="D41" sqref="D41"/>
    </sheetView>
  </sheetViews>
  <sheetFormatPr defaultRowHeight="16.5" x14ac:dyDescent="0.3"/>
  <cols>
    <col min="1" max="1" width="10.5" bestFit="1" customWidth="1"/>
    <col min="5" max="5" width="17.5" bestFit="1" customWidth="1"/>
    <col min="15" max="15" width="9" style="6"/>
  </cols>
  <sheetData>
    <row r="1" spans="1:16" ht="20.100000000000001" customHeight="1" x14ac:dyDescent="0.3">
      <c r="A1" t="s">
        <v>0</v>
      </c>
      <c r="B1" t="s">
        <v>1</v>
      </c>
      <c r="C1" t="s">
        <v>2</v>
      </c>
      <c r="D1" t="s">
        <v>3</v>
      </c>
      <c r="E1" t="s">
        <v>4</v>
      </c>
      <c r="F1" t="s">
        <v>5</v>
      </c>
      <c r="G1" t="s">
        <v>6</v>
      </c>
      <c r="H1" t="s">
        <v>7</v>
      </c>
      <c r="I1" t="s">
        <v>8</v>
      </c>
      <c r="J1" t="s">
        <v>9</v>
      </c>
      <c r="K1" t="s">
        <v>10</v>
      </c>
      <c r="L1" t="s">
        <v>11</v>
      </c>
      <c r="M1" t="s">
        <v>12</v>
      </c>
      <c r="N1" t="s">
        <v>13</v>
      </c>
      <c r="O1" s="6" t="s">
        <v>383</v>
      </c>
      <c r="P1" t="s">
        <v>384</v>
      </c>
    </row>
    <row r="2" spans="1:16" ht="20.100000000000001" customHeight="1" x14ac:dyDescent="0.3">
      <c r="A2" t="s">
        <v>14</v>
      </c>
      <c r="B2" t="s">
        <v>15</v>
      </c>
      <c r="C2" t="s">
        <v>16</v>
      </c>
      <c r="D2" t="s">
        <v>17</v>
      </c>
      <c r="E2" t="str">
        <f>"구매가 "&amp;TEXT(M2,"#,##0")&amp;"원"</f>
        <v>구매가 540,000원</v>
      </c>
      <c r="F2" t="s">
        <v>18</v>
      </c>
      <c r="G2" t="s">
        <v>19</v>
      </c>
      <c r="H2" t="s">
        <v>14</v>
      </c>
      <c r="J2" t="s">
        <v>20</v>
      </c>
      <c r="K2" t="s">
        <v>21</v>
      </c>
      <c r="L2">
        <v>300</v>
      </c>
      <c r="M2" s="2">
        <f>L2*200*9</f>
        <v>540000</v>
      </c>
      <c r="N2">
        <v>1293</v>
      </c>
      <c r="O2" s="6" t="str">
        <f t="shared" ref="O2:O5" si="0">P2*200&amp;"원"</f>
        <v>0원</v>
      </c>
    </row>
    <row r="3" spans="1:16" ht="20.100000000000001" customHeight="1" x14ac:dyDescent="0.3">
      <c r="A3" t="s">
        <v>22</v>
      </c>
      <c r="B3" t="s">
        <v>15</v>
      </c>
      <c r="C3" t="s">
        <v>16</v>
      </c>
      <c r="D3" t="s">
        <v>23</v>
      </c>
      <c r="E3" t="str">
        <f t="shared" ref="E3:E9" si="1">"구매가 "&amp;TEXT(M3,"#,##0")&amp;"원"</f>
        <v>구매가 576,000원</v>
      </c>
      <c r="F3" t="s">
        <v>18</v>
      </c>
      <c r="G3" t="s">
        <v>24</v>
      </c>
      <c r="H3" t="s">
        <v>22</v>
      </c>
      <c r="J3" t="s">
        <v>25</v>
      </c>
      <c r="K3" t="s">
        <v>21</v>
      </c>
      <c r="L3">
        <v>320</v>
      </c>
      <c r="M3" s="2">
        <f t="shared" ref="M3:M14" si="2">L3*200*9</f>
        <v>576000</v>
      </c>
      <c r="N3">
        <v>1272</v>
      </c>
      <c r="O3" s="6" t="str">
        <f t="shared" si="0"/>
        <v>0원</v>
      </c>
    </row>
    <row r="4" spans="1:16" ht="20.100000000000001" customHeight="1" x14ac:dyDescent="0.3">
      <c r="A4" t="s">
        <v>26</v>
      </c>
      <c r="B4" t="s">
        <v>15</v>
      </c>
      <c r="C4" t="s">
        <v>16</v>
      </c>
      <c r="D4" t="s">
        <v>27</v>
      </c>
      <c r="E4" t="str">
        <f t="shared" si="1"/>
        <v>구매가 666,000원</v>
      </c>
      <c r="F4" t="s">
        <v>28</v>
      </c>
      <c r="G4" t="s">
        <v>29</v>
      </c>
      <c r="H4" t="s">
        <v>26</v>
      </c>
      <c r="J4" t="s">
        <v>25</v>
      </c>
      <c r="K4" t="s">
        <v>21</v>
      </c>
      <c r="L4">
        <v>370</v>
      </c>
      <c r="M4" s="2">
        <f t="shared" si="2"/>
        <v>666000</v>
      </c>
      <c r="O4" s="6" t="str">
        <f t="shared" si="0"/>
        <v>0원</v>
      </c>
    </row>
    <row r="5" spans="1:16" ht="20.100000000000001" customHeight="1" x14ac:dyDescent="0.3">
      <c r="A5" t="s">
        <v>30</v>
      </c>
      <c r="B5" t="s">
        <v>15</v>
      </c>
      <c r="C5" t="s">
        <v>16</v>
      </c>
      <c r="D5" t="s">
        <v>31</v>
      </c>
      <c r="E5" t="str">
        <f t="shared" si="1"/>
        <v>구매가 576,000원</v>
      </c>
      <c r="F5" t="s">
        <v>32</v>
      </c>
      <c r="G5" t="s">
        <v>33</v>
      </c>
      <c r="H5" t="s">
        <v>30</v>
      </c>
      <c r="I5" t="s">
        <v>34</v>
      </c>
      <c r="J5" t="s">
        <v>25</v>
      </c>
      <c r="K5" t="s">
        <v>21</v>
      </c>
      <c r="L5">
        <v>320</v>
      </c>
      <c r="M5" s="2">
        <f t="shared" si="2"/>
        <v>576000</v>
      </c>
      <c r="O5" s="6" t="str">
        <f t="shared" si="0"/>
        <v>0원</v>
      </c>
    </row>
    <row r="6" spans="1:16" ht="20.100000000000001" customHeight="1" x14ac:dyDescent="0.3">
      <c r="A6" t="s">
        <v>35</v>
      </c>
      <c r="B6" t="s">
        <v>15</v>
      </c>
      <c r="C6" t="s">
        <v>16</v>
      </c>
      <c r="D6" t="s">
        <v>36</v>
      </c>
      <c r="E6" t="str">
        <f t="shared" si="1"/>
        <v>구매가 684,000원</v>
      </c>
      <c r="F6" t="s">
        <v>37</v>
      </c>
      <c r="G6" t="s">
        <v>38</v>
      </c>
      <c r="H6" t="s">
        <v>35</v>
      </c>
      <c r="I6" t="s">
        <v>39</v>
      </c>
      <c r="J6" t="s">
        <v>49</v>
      </c>
      <c r="K6" t="s">
        <v>21</v>
      </c>
      <c r="L6">
        <v>380</v>
      </c>
      <c r="M6" s="2">
        <f t="shared" si="2"/>
        <v>684000</v>
      </c>
      <c r="O6" s="6" t="str">
        <f>P6*200&amp;"원"</f>
        <v>48000원</v>
      </c>
      <c r="P6">
        <v>240</v>
      </c>
    </row>
    <row r="7" spans="1:16" ht="20.100000000000001" customHeight="1" x14ac:dyDescent="0.3">
      <c r="A7" t="s">
        <v>40</v>
      </c>
      <c r="B7" t="s">
        <v>15</v>
      </c>
      <c r="C7" t="s">
        <v>16</v>
      </c>
      <c r="D7" t="s">
        <v>36</v>
      </c>
      <c r="E7" t="str">
        <f t="shared" si="1"/>
        <v>구매가 630,000원</v>
      </c>
      <c r="F7" t="s">
        <v>41</v>
      </c>
      <c r="G7" t="s">
        <v>33</v>
      </c>
      <c r="H7" t="s">
        <v>40</v>
      </c>
      <c r="I7" t="s">
        <v>42</v>
      </c>
      <c r="J7" t="s">
        <v>25</v>
      </c>
      <c r="K7" t="s">
        <v>21</v>
      </c>
      <c r="L7">
        <v>350</v>
      </c>
      <c r="M7" s="2">
        <f t="shared" si="2"/>
        <v>630000</v>
      </c>
      <c r="O7" s="6" t="str">
        <f t="shared" ref="O7:O14" si="3">P7*200&amp;"원"</f>
        <v>51000원</v>
      </c>
      <c r="P7">
        <v>255</v>
      </c>
    </row>
    <row r="8" spans="1:16" ht="20.100000000000001" customHeight="1" x14ac:dyDescent="0.3">
      <c r="A8" t="s">
        <v>43</v>
      </c>
      <c r="B8" t="s">
        <v>15</v>
      </c>
      <c r="C8" t="s">
        <v>16</v>
      </c>
      <c r="D8" t="s">
        <v>45</v>
      </c>
      <c r="E8" t="str">
        <f t="shared" si="1"/>
        <v>구매가 693,000원</v>
      </c>
      <c r="F8" t="s">
        <v>46</v>
      </c>
      <c r="G8" t="s">
        <v>48</v>
      </c>
      <c r="H8" t="s">
        <v>43</v>
      </c>
      <c r="I8" t="s">
        <v>47</v>
      </c>
      <c r="J8" t="s">
        <v>50</v>
      </c>
      <c r="K8" t="s">
        <v>21</v>
      </c>
      <c r="L8">
        <v>385</v>
      </c>
      <c r="M8" s="2">
        <f t="shared" si="2"/>
        <v>693000</v>
      </c>
      <c r="O8" s="6" t="str">
        <f t="shared" si="3"/>
        <v>70000원</v>
      </c>
      <c r="P8">
        <v>350</v>
      </c>
    </row>
    <row r="9" spans="1:16" ht="20.100000000000001" customHeight="1" x14ac:dyDescent="0.3">
      <c r="A9" t="s">
        <v>44</v>
      </c>
      <c r="B9" t="s">
        <v>15</v>
      </c>
      <c r="C9" t="s">
        <v>16</v>
      </c>
      <c r="D9" t="s">
        <v>52</v>
      </c>
      <c r="E9" t="str">
        <f t="shared" si="1"/>
        <v>구매가 684,000원</v>
      </c>
      <c r="F9" t="s">
        <v>51</v>
      </c>
      <c r="G9" s="3" t="s">
        <v>53</v>
      </c>
      <c r="H9" t="s">
        <v>44</v>
      </c>
      <c r="I9" t="s">
        <v>55</v>
      </c>
      <c r="J9" t="s">
        <v>54</v>
      </c>
      <c r="K9" t="s">
        <v>21</v>
      </c>
      <c r="L9">
        <v>380</v>
      </c>
      <c r="M9" s="2">
        <f t="shared" si="2"/>
        <v>684000</v>
      </c>
      <c r="O9" s="6" t="str">
        <f t="shared" si="3"/>
        <v>0원</v>
      </c>
    </row>
    <row r="10" spans="1:16" ht="20.100000000000001" customHeight="1" x14ac:dyDescent="0.3">
      <c r="A10" t="s">
        <v>56</v>
      </c>
      <c r="B10" t="s">
        <v>15</v>
      </c>
      <c r="C10" t="s">
        <v>16</v>
      </c>
      <c r="D10" t="s">
        <v>61</v>
      </c>
      <c r="E10" t="str">
        <f t="shared" ref="E10:E13" si="4">"구매가 "&amp;TEXT(M10,"#,##0")&amp;"원"</f>
        <v>구매가 522,000원</v>
      </c>
      <c r="F10" t="s">
        <v>51</v>
      </c>
      <c r="G10" t="s">
        <v>62</v>
      </c>
      <c r="H10" t="s">
        <v>56</v>
      </c>
      <c r="I10" t="s">
        <v>63</v>
      </c>
      <c r="J10" t="s">
        <v>49</v>
      </c>
      <c r="K10" t="s">
        <v>21</v>
      </c>
      <c r="L10">
        <v>290</v>
      </c>
      <c r="M10" s="2">
        <f t="shared" si="2"/>
        <v>522000</v>
      </c>
      <c r="O10" s="6" t="str">
        <f t="shared" si="3"/>
        <v>0원</v>
      </c>
    </row>
    <row r="11" spans="1:16" ht="20.100000000000001" customHeight="1" x14ac:dyDescent="0.3">
      <c r="A11" t="s">
        <v>57</v>
      </c>
      <c r="B11" t="s">
        <v>15</v>
      </c>
      <c r="C11" t="s">
        <v>16</v>
      </c>
      <c r="D11" t="s">
        <v>393</v>
      </c>
      <c r="E11" t="str">
        <f t="shared" si="4"/>
        <v>구매가 630,000원</v>
      </c>
      <c r="F11" t="s">
        <v>395</v>
      </c>
      <c r="G11" s="5" t="s">
        <v>394</v>
      </c>
      <c r="H11" t="s">
        <v>57</v>
      </c>
      <c r="I11" t="s">
        <v>398</v>
      </c>
      <c r="J11" t="s">
        <v>49</v>
      </c>
      <c r="K11" t="s">
        <v>21</v>
      </c>
      <c r="L11">
        <v>350</v>
      </c>
      <c r="M11" s="2">
        <f t="shared" si="2"/>
        <v>630000</v>
      </c>
      <c r="O11" s="6" t="str">
        <f t="shared" si="3"/>
        <v>70000원</v>
      </c>
      <c r="P11">
        <v>350</v>
      </c>
    </row>
    <row r="12" spans="1:16" ht="20.100000000000001" customHeight="1" x14ac:dyDescent="0.3">
      <c r="A12" t="s">
        <v>58</v>
      </c>
      <c r="B12" t="s">
        <v>15</v>
      </c>
      <c r="C12" t="s">
        <v>16</v>
      </c>
      <c r="D12" t="s">
        <v>396</v>
      </c>
      <c r="E12" t="str">
        <f t="shared" si="4"/>
        <v>구매가 585,000원</v>
      </c>
      <c r="G12" t="s">
        <v>397</v>
      </c>
      <c r="H12" t="s">
        <v>58</v>
      </c>
      <c r="I12" t="s">
        <v>399</v>
      </c>
      <c r="J12" t="s">
        <v>49</v>
      </c>
      <c r="K12" t="s">
        <v>21</v>
      </c>
      <c r="L12">
        <v>325</v>
      </c>
      <c r="M12" s="2">
        <f t="shared" si="2"/>
        <v>585000</v>
      </c>
      <c r="O12" s="6" t="str">
        <f t="shared" si="3"/>
        <v>65000원</v>
      </c>
      <c r="P12">
        <v>325</v>
      </c>
    </row>
    <row r="13" spans="1:16" ht="20.100000000000001" customHeight="1" x14ac:dyDescent="0.3">
      <c r="A13" t="s">
        <v>59</v>
      </c>
      <c r="B13" t="s">
        <v>15</v>
      </c>
      <c r="C13" t="s">
        <v>16</v>
      </c>
      <c r="D13" t="s">
        <v>396</v>
      </c>
      <c r="E13" t="str">
        <f t="shared" si="4"/>
        <v>구매가 504,000원</v>
      </c>
      <c r="F13" t="s">
        <v>51</v>
      </c>
      <c r="G13" s="5" t="s">
        <v>400</v>
      </c>
      <c r="H13" t="s">
        <v>59</v>
      </c>
      <c r="I13" t="s">
        <v>401</v>
      </c>
      <c r="J13" t="s">
        <v>49</v>
      </c>
      <c r="K13" t="s">
        <v>21</v>
      </c>
      <c r="L13">
        <v>280</v>
      </c>
      <c r="M13" s="2">
        <f t="shared" si="2"/>
        <v>504000</v>
      </c>
      <c r="O13" s="6" t="str">
        <f t="shared" si="3"/>
        <v>62000원</v>
      </c>
      <c r="P13">
        <v>310</v>
      </c>
    </row>
    <row r="14" spans="1:16" ht="20.100000000000001" customHeight="1" x14ac:dyDescent="0.3">
      <c r="A14" t="s">
        <v>60</v>
      </c>
      <c r="B14" t="s">
        <v>15</v>
      </c>
      <c r="C14" t="s">
        <v>16</v>
      </c>
      <c r="D14" t="s">
        <v>411</v>
      </c>
      <c r="E14" t="str">
        <f t="shared" ref="E14" si="5">"구매가 "&amp;TEXT(M14,"#,##0")&amp;"원"</f>
        <v>구매가 756,000원</v>
      </c>
      <c r="G14" t="s">
        <v>412</v>
      </c>
      <c r="H14" t="s">
        <v>60</v>
      </c>
      <c r="J14" t="s">
        <v>49</v>
      </c>
      <c r="K14" t="s">
        <v>21</v>
      </c>
      <c r="L14">
        <v>420</v>
      </c>
      <c r="M14" s="2">
        <f t="shared" si="2"/>
        <v>756000</v>
      </c>
      <c r="O14" s="6" t="str">
        <f t="shared" si="3"/>
        <v>84000원</v>
      </c>
      <c r="P14">
        <v>420</v>
      </c>
    </row>
    <row r="15" spans="1:16" ht="20.100000000000001" customHeight="1" x14ac:dyDescent="0.3">
      <c r="A15" t="s">
        <v>413</v>
      </c>
      <c r="B15" t="s">
        <v>15</v>
      </c>
      <c r="C15" t="s">
        <v>16</v>
      </c>
      <c r="D15" t="s">
        <v>416</v>
      </c>
      <c r="E15" t="str">
        <f t="shared" ref="E15" si="6">"구매가 "&amp;TEXT(M15,"#,##0")&amp;"원"</f>
        <v>구매가 576,000원</v>
      </c>
      <c r="F15" t="s">
        <v>415</v>
      </c>
      <c r="G15" t="s">
        <v>417</v>
      </c>
      <c r="H15" t="s">
        <v>413</v>
      </c>
      <c r="I15" t="s">
        <v>389</v>
      </c>
      <c r="J15" t="s">
        <v>49</v>
      </c>
      <c r="K15" t="s">
        <v>21</v>
      </c>
      <c r="L15">
        <v>320</v>
      </c>
      <c r="M15" s="2">
        <f t="shared" ref="M15" si="7">L15*200*9</f>
        <v>576000</v>
      </c>
      <c r="O15" s="6" t="str">
        <f t="shared" ref="O15" si="8">P15*200&amp;"원"</f>
        <v>64000원</v>
      </c>
      <c r="P15">
        <v>320</v>
      </c>
    </row>
    <row r="16" spans="1:16" ht="20.100000000000001" customHeight="1" x14ac:dyDescent="0.3">
      <c r="A16" t="s">
        <v>414</v>
      </c>
      <c r="B16" t="s">
        <v>15</v>
      </c>
      <c r="C16" t="s">
        <v>16</v>
      </c>
      <c r="D16" t="s">
        <v>418</v>
      </c>
      <c r="E16" t="str">
        <f t="shared" ref="E16" si="9">"구매가 "&amp;TEXT(M16,"#,##0")&amp;"원"</f>
        <v>구매가 446,400원</v>
      </c>
      <c r="G16" t="s">
        <v>428</v>
      </c>
      <c r="H16" t="s">
        <v>414</v>
      </c>
      <c r="J16" t="s">
        <v>49</v>
      </c>
      <c r="K16" t="s">
        <v>21</v>
      </c>
      <c r="L16">
        <v>248</v>
      </c>
      <c r="M16" s="2">
        <f t="shared" ref="M16" si="10">L16*200*9</f>
        <v>446400</v>
      </c>
      <c r="O16" s="6" t="str">
        <f t="shared" ref="O16" si="11">P16*200&amp;"원"</f>
        <v>49600원</v>
      </c>
      <c r="P16">
        <v>248</v>
      </c>
    </row>
    <row r="17" spans="1:16" ht="20.100000000000001" customHeight="1" x14ac:dyDescent="0.3">
      <c r="A17" t="s">
        <v>419</v>
      </c>
      <c r="B17" t="s">
        <v>15</v>
      </c>
      <c r="C17" t="s">
        <v>16</v>
      </c>
      <c r="D17" t="s">
        <v>429</v>
      </c>
      <c r="E17" t="str">
        <f t="shared" ref="E17:E25" si="12">"구매가 "&amp;TEXT(M17,"#,##0")&amp;"원"</f>
        <v>구매가 612,000원</v>
      </c>
      <c r="G17" t="s">
        <v>430</v>
      </c>
      <c r="H17" t="s">
        <v>419</v>
      </c>
      <c r="J17" t="s">
        <v>49</v>
      </c>
      <c r="K17" t="s">
        <v>21</v>
      </c>
      <c r="L17">
        <v>340</v>
      </c>
      <c r="M17" s="2">
        <f t="shared" ref="M17:M25" si="13">L17*200*9</f>
        <v>612000</v>
      </c>
      <c r="O17" s="6" t="str">
        <f t="shared" ref="O17:O25" si="14">P17*200&amp;"원"</f>
        <v>68000원</v>
      </c>
      <c r="P17">
        <v>340</v>
      </c>
    </row>
    <row r="18" spans="1:16" ht="20.100000000000001" customHeight="1" x14ac:dyDescent="0.3">
      <c r="A18" s="8" t="s">
        <v>420</v>
      </c>
      <c r="B18" t="s">
        <v>15</v>
      </c>
      <c r="C18" t="s">
        <v>16</v>
      </c>
      <c r="D18" t="s">
        <v>431</v>
      </c>
      <c r="E18" t="str">
        <f t="shared" si="12"/>
        <v>구매가 585,000원</v>
      </c>
      <c r="G18" t="s">
        <v>432</v>
      </c>
      <c r="H18" t="s">
        <v>420</v>
      </c>
      <c r="J18" t="s">
        <v>49</v>
      </c>
      <c r="K18" t="s">
        <v>21</v>
      </c>
      <c r="L18">
        <v>325</v>
      </c>
      <c r="M18" s="2">
        <f t="shared" si="13"/>
        <v>585000</v>
      </c>
      <c r="O18" s="6" t="str">
        <f t="shared" si="14"/>
        <v>65000원</v>
      </c>
      <c r="P18">
        <v>325</v>
      </c>
    </row>
    <row r="19" spans="1:16" ht="20.100000000000001" customHeight="1" x14ac:dyDescent="0.3">
      <c r="A19" t="s">
        <v>421</v>
      </c>
      <c r="B19" t="s">
        <v>15</v>
      </c>
      <c r="C19" t="s">
        <v>16</v>
      </c>
      <c r="D19" t="s">
        <v>448</v>
      </c>
      <c r="E19" t="str">
        <f t="shared" si="12"/>
        <v>구매가 630,000원</v>
      </c>
      <c r="G19" t="s">
        <v>449</v>
      </c>
      <c r="H19" t="s">
        <v>421</v>
      </c>
      <c r="J19" t="s">
        <v>49</v>
      </c>
      <c r="K19" t="s">
        <v>21</v>
      </c>
      <c r="L19">
        <v>350</v>
      </c>
      <c r="M19" s="2">
        <f t="shared" si="13"/>
        <v>630000</v>
      </c>
      <c r="O19" s="6" t="str">
        <f t="shared" si="14"/>
        <v>120000원</v>
      </c>
      <c r="P19">
        <v>600</v>
      </c>
    </row>
    <row r="20" spans="1:16" ht="20.100000000000001" customHeight="1" x14ac:dyDescent="0.3">
      <c r="A20" t="s">
        <v>422</v>
      </c>
      <c r="B20" t="s">
        <v>15</v>
      </c>
      <c r="C20" t="s">
        <v>16</v>
      </c>
      <c r="D20" t="s">
        <v>450</v>
      </c>
      <c r="E20" t="str">
        <f t="shared" si="12"/>
        <v>구매가 630,000원</v>
      </c>
      <c r="G20" t="s">
        <v>450</v>
      </c>
      <c r="H20" t="s">
        <v>422</v>
      </c>
      <c r="J20" t="s">
        <v>49</v>
      </c>
      <c r="K20" t="s">
        <v>21</v>
      </c>
      <c r="L20">
        <v>350</v>
      </c>
      <c r="M20" s="2">
        <f t="shared" si="13"/>
        <v>630000</v>
      </c>
      <c r="O20" s="6" t="str">
        <f t="shared" si="14"/>
        <v>140000원</v>
      </c>
      <c r="P20">
        <v>700</v>
      </c>
    </row>
    <row r="21" spans="1:16" ht="20.100000000000001" customHeight="1" x14ac:dyDescent="0.3">
      <c r="A21" t="s">
        <v>423</v>
      </c>
      <c r="B21" t="s">
        <v>15</v>
      </c>
      <c r="C21" t="s">
        <v>16</v>
      </c>
      <c r="D21" t="s">
        <v>452</v>
      </c>
      <c r="E21" t="str">
        <f t="shared" si="12"/>
        <v>구매가 450,000원</v>
      </c>
      <c r="G21" t="s">
        <v>453</v>
      </c>
      <c r="H21" t="s">
        <v>423</v>
      </c>
      <c r="I21" t="s">
        <v>451</v>
      </c>
      <c r="J21" t="s">
        <v>49</v>
      </c>
      <c r="K21" t="s">
        <v>21</v>
      </c>
      <c r="L21">
        <v>250</v>
      </c>
      <c r="M21" s="2">
        <f t="shared" si="13"/>
        <v>450000</v>
      </c>
      <c r="O21" s="6" t="str">
        <f t="shared" si="14"/>
        <v>84000원</v>
      </c>
      <c r="P21">
        <v>420</v>
      </c>
    </row>
    <row r="22" spans="1:16" ht="20.100000000000001" customHeight="1" x14ac:dyDescent="0.3">
      <c r="A22" t="s">
        <v>424</v>
      </c>
      <c r="B22" t="s">
        <v>15</v>
      </c>
      <c r="C22" t="s">
        <v>16</v>
      </c>
      <c r="D22" t="s">
        <v>454</v>
      </c>
      <c r="E22" t="str">
        <f t="shared" si="12"/>
        <v>구매가 666,000원</v>
      </c>
      <c r="G22" t="s">
        <v>455</v>
      </c>
      <c r="H22" t="s">
        <v>424</v>
      </c>
      <c r="J22" t="s">
        <v>441</v>
      </c>
      <c r="K22" t="s">
        <v>21</v>
      </c>
      <c r="L22">
        <v>370</v>
      </c>
      <c r="M22" s="2">
        <f t="shared" si="13"/>
        <v>666000</v>
      </c>
      <c r="O22" s="6" t="str">
        <f t="shared" si="14"/>
        <v>74000원</v>
      </c>
      <c r="P22">
        <v>370</v>
      </c>
    </row>
    <row r="23" spans="1:16" ht="20.100000000000001" customHeight="1" x14ac:dyDescent="0.3">
      <c r="A23" t="s">
        <v>425</v>
      </c>
      <c r="B23" t="s">
        <v>15</v>
      </c>
      <c r="C23" t="s">
        <v>16</v>
      </c>
      <c r="D23" t="s">
        <v>456</v>
      </c>
      <c r="E23" t="str">
        <f t="shared" si="12"/>
        <v>구매가 720,000원</v>
      </c>
      <c r="G23" t="s">
        <v>457</v>
      </c>
      <c r="H23" t="s">
        <v>425</v>
      </c>
      <c r="J23" t="s">
        <v>441</v>
      </c>
      <c r="K23" t="s">
        <v>21</v>
      </c>
      <c r="L23">
        <v>400</v>
      </c>
      <c r="M23" s="2">
        <f t="shared" si="13"/>
        <v>720000</v>
      </c>
      <c r="O23" s="6" t="str">
        <f t="shared" si="14"/>
        <v>86000원</v>
      </c>
      <c r="P23">
        <v>430</v>
      </c>
    </row>
    <row r="24" spans="1:16" ht="20.100000000000001" customHeight="1" x14ac:dyDescent="0.3">
      <c r="A24" t="s">
        <v>426</v>
      </c>
      <c r="B24" t="s">
        <v>15</v>
      </c>
      <c r="C24" t="s">
        <v>16</v>
      </c>
      <c r="D24" t="s">
        <v>458</v>
      </c>
      <c r="E24" t="str">
        <f t="shared" si="12"/>
        <v>구매가 648,000원</v>
      </c>
      <c r="G24" t="s">
        <v>459</v>
      </c>
      <c r="H24" t="s">
        <v>426</v>
      </c>
      <c r="J24" t="s">
        <v>441</v>
      </c>
      <c r="K24" t="s">
        <v>21</v>
      </c>
      <c r="L24">
        <v>360</v>
      </c>
      <c r="M24" s="2">
        <f t="shared" si="13"/>
        <v>648000</v>
      </c>
      <c r="O24" s="6" t="str">
        <f t="shared" si="14"/>
        <v>72000원</v>
      </c>
      <c r="P24">
        <v>360</v>
      </c>
    </row>
    <row r="25" spans="1:16" ht="20.100000000000001" customHeight="1" x14ac:dyDescent="0.3">
      <c r="A25" s="8" t="s">
        <v>427</v>
      </c>
      <c r="B25" t="s">
        <v>15</v>
      </c>
      <c r="C25" t="s">
        <v>16</v>
      </c>
      <c r="D25" t="s">
        <v>469</v>
      </c>
      <c r="E25" t="str">
        <f t="shared" si="12"/>
        <v>구매가 450,000원</v>
      </c>
      <c r="G25" t="s">
        <v>470</v>
      </c>
      <c r="H25" t="s">
        <v>427</v>
      </c>
      <c r="I25" t="s">
        <v>471</v>
      </c>
      <c r="J25" t="s">
        <v>472</v>
      </c>
      <c r="K25" t="s">
        <v>21</v>
      </c>
      <c r="L25">
        <v>250</v>
      </c>
      <c r="M25" s="2">
        <f t="shared" si="13"/>
        <v>450000</v>
      </c>
      <c r="O25" s="6" t="str">
        <f t="shared" si="14"/>
        <v>64000원</v>
      </c>
      <c r="P25">
        <v>320</v>
      </c>
    </row>
    <row r="26" spans="1:16" ht="26.25" customHeight="1" x14ac:dyDescent="0.3">
      <c r="A26" t="s">
        <v>460</v>
      </c>
      <c r="B26" t="s">
        <v>15</v>
      </c>
      <c r="C26" t="s">
        <v>16</v>
      </c>
      <c r="D26" t="s">
        <v>494</v>
      </c>
      <c r="E26" t="str">
        <f t="shared" ref="E26:E34" si="15">"구매가 "&amp;TEXT(M26,"#,##0")&amp;"원"</f>
        <v>구매가 648,000원</v>
      </c>
      <c r="G26" t="s">
        <v>495</v>
      </c>
      <c r="H26" t="s">
        <v>460</v>
      </c>
      <c r="I26" t="s">
        <v>389</v>
      </c>
      <c r="J26" t="s">
        <v>49</v>
      </c>
      <c r="K26" t="s">
        <v>21</v>
      </c>
      <c r="L26">
        <v>360</v>
      </c>
      <c r="M26" s="2">
        <f t="shared" ref="M26:M34" si="16">L26*200*9</f>
        <v>648000</v>
      </c>
      <c r="O26" s="6" t="str">
        <f t="shared" ref="O26:O34" si="17">P26*200&amp;"원"</f>
        <v>130000원</v>
      </c>
      <c r="P26">
        <v>650</v>
      </c>
    </row>
    <row r="27" spans="1:16" x14ac:dyDescent="0.3">
      <c r="A27" s="8" t="s">
        <v>461</v>
      </c>
      <c r="B27" t="s">
        <v>15</v>
      </c>
      <c r="C27" t="s">
        <v>16</v>
      </c>
      <c r="D27" t="s">
        <v>496</v>
      </c>
      <c r="E27" t="str">
        <f t="shared" si="15"/>
        <v>구매가 684,000원</v>
      </c>
      <c r="G27" t="s">
        <v>497</v>
      </c>
      <c r="H27" t="s">
        <v>461</v>
      </c>
      <c r="I27" t="s">
        <v>498</v>
      </c>
      <c r="J27" t="s">
        <v>49</v>
      </c>
      <c r="K27" t="s">
        <v>21</v>
      </c>
      <c r="L27">
        <v>380</v>
      </c>
      <c r="M27" s="2">
        <f t="shared" si="16"/>
        <v>684000</v>
      </c>
      <c r="O27" s="6" t="str">
        <f t="shared" si="17"/>
        <v>138000원</v>
      </c>
      <c r="P27">
        <v>690</v>
      </c>
    </row>
    <row r="28" spans="1:16" x14ac:dyDescent="0.3">
      <c r="A28" t="s">
        <v>462</v>
      </c>
      <c r="B28" t="s">
        <v>15</v>
      </c>
      <c r="C28" t="s">
        <v>16</v>
      </c>
      <c r="D28" t="s">
        <v>499</v>
      </c>
      <c r="E28" t="str">
        <f t="shared" si="15"/>
        <v>구매가 540,000원</v>
      </c>
      <c r="G28" t="s">
        <v>500</v>
      </c>
      <c r="H28" t="s">
        <v>462</v>
      </c>
      <c r="J28" t="s">
        <v>49</v>
      </c>
      <c r="K28" t="s">
        <v>21</v>
      </c>
      <c r="L28">
        <v>300</v>
      </c>
      <c r="M28" s="2">
        <f t="shared" si="16"/>
        <v>540000</v>
      </c>
      <c r="O28" s="6" t="str">
        <f t="shared" si="17"/>
        <v>46000원</v>
      </c>
      <c r="P28">
        <v>230</v>
      </c>
    </row>
    <row r="29" spans="1:16" x14ac:dyDescent="0.3">
      <c r="A29" t="s">
        <v>463</v>
      </c>
      <c r="B29" t="s">
        <v>15</v>
      </c>
      <c r="C29" t="s">
        <v>16</v>
      </c>
      <c r="D29" t="s">
        <v>501</v>
      </c>
      <c r="E29" t="str">
        <f t="shared" si="15"/>
        <v>구매가 648,000원</v>
      </c>
      <c r="G29" t="s">
        <v>502</v>
      </c>
      <c r="H29" t="s">
        <v>463</v>
      </c>
      <c r="I29" t="s">
        <v>503</v>
      </c>
      <c r="J29" t="s">
        <v>49</v>
      </c>
      <c r="K29" t="s">
        <v>21</v>
      </c>
      <c r="L29">
        <v>360</v>
      </c>
      <c r="M29" s="2">
        <f t="shared" si="16"/>
        <v>648000</v>
      </c>
      <c r="O29" s="6" t="str">
        <f t="shared" si="17"/>
        <v>72000원</v>
      </c>
      <c r="P29">
        <v>360</v>
      </c>
    </row>
    <row r="30" spans="1:16" x14ac:dyDescent="0.3">
      <c r="A30" t="s">
        <v>464</v>
      </c>
      <c r="B30" t="s">
        <v>15</v>
      </c>
      <c r="C30" t="s">
        <v>16</v>
      </c>
      <c r="D30" t="s">
        <v>501</v>
      </c>
      <c r="E30" t="str">
        <f t="shared" si="15"/>
        <v>구매가 576,000원</v>
      </c>
      <c r="G30" t="s">
        <v>502</v>
      </c>
      <c r="H30" t="s">
        <v>464</v>
      </c>
      <c r="J30" t="s">
        <v>49</v>
      </c>
      <c r="K30" t="s">
        <v>21</v>
      </c>
      <c r="L30">
        <v>320</v>
      </c>
      <c r="M30" s="2">
        <f t="shared" si="16"/>
        <v>576000</v>
      </c>
      <c r="O30" s="6" t="str">
        <f t="shared" si="17"/>
        <v>64000원</v>
      </c>
      <c r="P30">
        <v>320</v>
      </c>
    </row>
    <row r="31" spans="1:16" x14ac:dyDescent="0.3">
      <c r="A31" s="8" t="s">
        <v>465</v>
      </c>
      <c r="B31" t="s">
        <v>15</v>
      </c>
      <c r="C31" t="s">
        <v>16</v>
      </c>
      <c r="D31" t="s">
        <v>504</v>
      </c>
      <c r="E31" t="str">
        <f t="shared" si="15"/>
        <v>구매가 594,000원</v>
      </c>
      <c r="G31" t="s">
        <v>505</v>
      </c>
      <c r="H31" t="s">
        <v>465</v>
      </c>
      <c r="J31" t="s">
        <v>49</v>
      </c>
      <c r="K31" t="s">
        <v>21</v>
      </c>
      <c r="L31">
        <v>330</v>
      </c>
      <c r="M31" s="2">
        <f t="shared" si="16"/>
        <v>594000</v>
      </c>
      <c r="O31" s="6" t="str">
        <f t="shared" si="17"/>
        <v>64000원</v>
      </c>
      <c r="P31">
        <v>320</v>
      </c>
    </row>
    <row r="32" spans="1:16" x14ac:dyDescent="0.3">
      <c r="A32" t="s">
        <v>466</v>
      </c>
      <c r="B32" t="s">
        <v>15</v>
      </c>
      <c r="C32" t="s">
        <v>16</v>
      </c>
      <c r="D32" t="s">
        <v>518</v>
      </c>
      <c r="E32" t="str">
        <f t="shared" si="15"/>
        <v>구매가 648,000원</v>
      </c>
      <c r="G32" t="s">
        <v>519</v>
      </c>
      <c r="H32" t="s">
        <v>466</v>
      </c>
      <c r="J32" t="s">
        <v>49</v>
      </c>
      <c r="K32" t="s">
        <v>21</v>
      </c>
      <c r="L32">
        <v>360</v>
      </c>
      <c r="M32" s="2">
        <f t="shared" si="16"/>
        <v>648000</v>
      </c>
      <c r="O32" s="6" t="str">
        <f t="shared" si="17"/>
        <v>72000원</v>
      </c>
      <c r="P32">
        <v>360</v>
      </c>
    </row>
    <row r="33" spans="1:16" x14ac:dyDescent="0.3">
      <c r="A33" t="s">
        <v>467</v>
      </c>
      <c r="B33" t="s">
        <v>15</v>
      </c>
      <c r="C33" t="s">
        <v>16</v>
      </c>
      <c r="D33" t="s">
        <v>520</v>
      </c>
      <c r="E33" t="str">
        <f t="shared" si="15"/>
        <v>구매가 810,000원</v>
      </c>
      <c r="G33" t="s">
        <v>521</v>
      </c>
      <c r="H33" t="s">
        <v>467</v>
      </c>
      <c r="J33" t="s">
        <v>49</v>
      </c>
      <c r="K33" t="s">
        <v>21</v>
      </c>
      <c r="L33">
        <v>450</v>
      </c>
      <c r="M33" s="2">
        <f t="shared" si="16"/>
        <v>810000</v>
      </c>
      <c r="O33" s="6" t="str">
        <f t="shared" si="17"/>
        <v>90000원</v>
      </c>
      <c r="P33">
        <v>450</v>
      </c>
    </row>
    <row r="34" spans="1:16" x14ac:dyDescent="0.3">
      <c r="A34" t="s">
        <v>468</v>
      </c>
      <c r="B34" t="s">
        <v>15</v>
      </c>
      <c r="C34" t="s">
        <v>16</v>
      </c>
      <c r="D34" t="s">
        <v>522</v>
      </c>
      <c r="E34" t="str">
        <f t="shared" si="15"/>
        <v>구매가 810,000원</v>
      </c>
      <c r="G34" t="s">
        <v>523</v>
      </c>
      <c r="H34" t="s">
        <v>468</v>
      </c>
      <c r="J34" t="s">
        <v>49</v>
      </c>
      <c r="K34" t="s">
        <v>21</v>
      </c>
      <c r="L34">
        <v>450</v>
      </c>
      <c r="M34" s="2">
        <f t="shared" si="16"/>
        <v>810000</v>
      </c>
      <c r="O34" s="6" t="str">
        <f t="shared" si="17"/>
        <v>90000원</v>
      </c>
      <c r="P34">
        <v>450</v>
      </c>
    </row>
    <row r="35" spans="1:16" x14ac:dyDescent="0.3">
      <c r="A35" s="7" t="s">
        <v>508</v>
      </c>
      <c r="B35" t="s">
        <v>15</v>
      </c>
      <c r="C35" t="s">
        <v>16</v>
      </c>
      <c r="D35" t="s">
        <v>524</v>
      </c>
      <c r="E35" t="str">
        <f t="shared" ref="E35:E44" si="18">"구매가 "&amp;TEXT(M35,"#,##0")&amp;"원"</f>
        <v>구매가 1,170,000원</v>
      </c>
      <c r="G35" t="s">
        <v>525</v>
      </c>
      <c r="H35" t="s">
        <v>508</v>
      </c>
      <c r="J35" t="s">
        <v>49</v>
      </c>
      <c r="K35" t="s">
        <v>21</v>
      </c>
      <c r="L35">
        <v>650</v>
      </c>
      <c r="M35" s="2">
        <f t="shared" ref="M35:M44" si="19">L35*200*9</f>
        <v>1170000</v>
      </c>
      <c r="O35" s="6" t="str">
        <f t="shared" ref="O35:O44" si="20">P35*200&amp;"원"</f>
        <v>130000원</v>
      </c>
      <c r="P35">
        <v>650</v>
      </c>
    </row>
    <row r="36" spans="1:16" x14ac:dyDescent="0.3">
      <c r="A36" t="s">
        <v>509</v>
      </c>
      <c r="B36" t="s">
        <v>15</v>
      </c>
      <c r="C36" t="s">
        <v>16</v>
      </c>
      <c r="E36" t="str">
        <f t="shared" si="18"/>
        <v>구매가 0원</v>
      </c>
      <c r="H36" t="s">
        <v>509</v>
      </c>
      <c r="J36" t="s">
        <v>49</v>
      </c>
      <c r="K36" t="s">
        <v>65</v>
      </c>
      <c r="M36" s="2">
        <f t="shared" si="19"/>
        <v>0</v>
      </c>
      <c r="O36" s="6" t="str">
        <f t="shared" si="20"/>
        <v>0원</v>
      </c>
    </row>
    <row r="37" spans="1:16" x14ac:dyDescent="0.3">
      <c r="A37" t="s">
        <v>510</v>
      </c>
      <c r="B37" t="s">
        <v>15</v>
      </c>
      <c r="C37" t="s">
        <v>16</v>
      </c>
      <c r="E37" t="str">
        <f t="shared" si="18"/>
        <v>구매가 0원</v>
      </c>
      <c r="H37" t="s">
        <v>510</v>
      </c>
      <c r="J37" t="s">
        <v>49</v>
      </c>
      <c r="K37" t="s">
        <v>65</v>
      </c>
      <c r="M37" s="2">
        <f t="shared" si="19"/>
        <v>0</v>
      </c>
      <c r="O37" s="6" t="str">
        <f t="shared" si="20"/>
        <v>0원</v>
      </c>
    </row>
    <row r="38" spans="1:16" x14ac:dyDescent="0.3">
      <c r="A38" t="s">
        <v>511</v>
      </c>
      <c r="B38" t="s">
        <v>15</v>
      </c>
      <c r="C38" t="s">
        <v>16</v>
      </c>
      <c r="E38" t="str">
        <f t="shared" si="18"/>
        <v>구매가 0원</v>
      </c>
      <c r="H38" t="s">
        <v>511</v>
      </c>
      <c r="J38" t="s">
        <v>49</v>
      </c>
      <c r="K38" t="s">
        <v>65</v>
      </c>
      <c r="M38" s="2">
        <f t="shared" si="19"/>
        <v>0</v>
      </c>
      <c r="O38" s="6" t="str">
        <f t="shared" si="20"/>
        <v>0원</v>
      </c>
    </row>
    <row r="39" spans="1:16" x14ac:dyDescent="0.3">
      <c r="A39" t="s">
        <v>512</v>
      </c>
      <c r="B39" t="s">
        <v>15</v>
      </c>
      <c r="C39" t="s">
        <v>16</v>
      </c>
      <c r="E39" t="str">
        <f t="shared" si="18"/>
        <v>구매가 0원</v>
      </c>
      <c r="H39" t="s">
        <v>512</v>
      </c>
      <c r="J39" t="s">
        <v>49</v>
      </c>
      <c r="K39" t="s">
        <v>65</v>
      </c>
      <c r="M39" s="2">
        <f t="shared" si="19"/>
        <v>0</v>
      </c>
      <c r="O39" s="6" t="str">
        <f t="shared" si="20"/>
        <v>0원</v>
      </c>
    </row>
    <row r="40" spans="1:16" x14ac:dyDescent="0.3">
      <c r="A40" t="s">
        <v>513</v>
      </c>
      <c r="B40" t="s">
        <v>15</v>
      </c>
      <c r="C40" t="s">
        <v>16</v>
      </c>
      <c r="E40" t="str">
        <f t="shared" si="18"/>
        <v>구매가 0원</v>
      </c>
      <c r="H40" t="s">
        <v>513</v>
      </c>
      <c r="J40" t="s">
        <v>49</v>
      </c>
      <c r="K40" t="s">
        <v>65</v>
      </c>
      <c r="M40" s="2">
        <f t="shared" si="19"/>
        <v>0</v>
      </c>
      <c r="O40" s="6" t="str">
        <f t="shared" si="20"/>
        <v>0원</v>
      </c>
    </row>
    <row r="41" spans="1:16" x14ac:dyDescent="0.3">
      <c r="A41" t="s">
        <v>514</v>
      </c>
      <c r="B41" t="s">
        <v>15</v>
      </c>
      <c r="C41" t="s">
        <v>16</v>
      </c>
      <c r="E41" t="str">
        <f t="shared" si="18"/>
        <v>구매가 0원</v>
      </c>
      <c r="H41" t="s">
        <v>514</v>
      </c>
      <c r="J41" t="s">
        <v>49</v>
      </c>
      <c r="K41" t="s">
        <v>65</v>
      </c>
      <c r="M41" s="2">
        <f t="shared" si="19"/>
        <v>0</v>
      </c>
      <c r="O41" s="6" t="str">
        <f t="shared" si="20"/>
        <v>0원</v>
      </c>
    </row>
    <row r="42" spans="1:16" x14ac:dyDescent="0.3">
      <c r="A42" t="s">
        <v>515</v>
      </c>
      <c r="B42" t="s">
        <v>15</v>
      </c>
      <c r="C42" t="s">
        <v>16</v>
      </c>
      <c r="E42" t="str">
        <f t="shared" si="18"/>
        <v>구매가 0원</v>
      </c>
      <c r="H42" t="s">
        <v>515</v>
      </c>
      <c r="J42" t="s">
        <v>49</v>
      </c>
      <c r="K42" t="s">
        <v>65</v>
      </c>
      <c r="M42" s="2">
        <f t="shared" si="19"/>
        <v>0</v>
      </c>
      <c r="O42" s="6" t="str">
        <f t="shared" si="20"/>
        <v>0원</v>
      </c>
    </row>
    <row r="43" spans="1:16" x14ac:dyDescent="0.3">
      <c r="A43" t="s">
        <v>516</v>
      </c>
      <c r="B43" t="s">
        <v>15</v>
      </c>
      <c r="C43" t="s">
        <v>16</v>
      </c>
      <c r="E43" t="str">
        <f t="shared" si="18"/>
        <v>구매가 0원</v>
      </c>
      <c r="H43" t="s">
        <v>516</v>
      </c>
      <c r="J43" t="s">
        <v>49</v>
      </c>
      <c r="K43" t="s">
        <v>65</v>
      </c>
      <c r="M43" s="2">
        <f t="shared" si="19"/>
        <v>0</v>
      </c>
      <c r="O43" s="6" t="str">
        <f t="shared" si="20"/>
        <v>0원</v>
      </c>
    </row>
    <row r="44" spans="1:16" x14ac:dyDescent="0.3">
      <c r="A44" t="s">
        <v>517</v>
      </c>
      <c r="B44" t="s">
        <v>15</v>
      </c>
      <c r="C44" t="s">
        <v>16</v>
      </c>
      <c r="E44" t="str">
        <f t="shared" si="18"/>
        <v>구매가 0원</v>
      </c>
      <c r="H44" t="s">
        <v>517</v>
      </c>
      <c r="J44" t="s">
        <v>49</v>
      </c>
      <c r="K44" t="s">
        <v>65</v>
      </c>
      <c r="M44" s="2">
        <f t="shared" si="19"/>
        <v>0</v>
      </c>
      <c r="O44" s="6" t="str">
        <f t="shared" si="20"/>
        <v>0원</v>
      </c>
    </row>
  </sheetData>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FE48-EC4A-4DAB-87E8-96E89FD9F8BA}">
  <dimension ref="A1:P101"/>
  <sheetViews>
    <sheetView workbookViewId="0">
      <selection activeCell="H17" sqref="H17"/>
    </sheetView>
  </sheetViews>
  <sheetFormatPr defaultRowHeight="16.5" x14ac:dyDescent="0.3"/>
  <cols>
    <col min="5" max="5" width="16.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s="6" t="s">
        <v>383</v>
      </c>
      <c r="P1" t="s">
        <v>384</v>
      </c>
    </row>
    <row r="2" spans="1:16" x14ac:dyDescent="0.3">
      <c r="A2" t="s">
        <v>168</v>
      </c>
      <c r="B2" t="s">
        <v>169</v>
      </c>
      <c r="C2" t="s">
        <v>170</v>
      </c>
      <c r="D2" t="s">
        <v>402</v>
      </c>
      <c r="E2" t="str">
        <f>"구매가 "&amp;TEXT(M2,"#,##0")&amp;"원"</f>
        <v>구매가 162,000원</v>
      </c>
      <c r="G2" s="5" t="s">
        <v>403</v>
      </c>
      <c r="H2" t="s">
        <v>168</v>
      </c>
      <c r="J2" t="s">
        <v>49</v>
      </c>
      <c r="K2" t="s">
        <v>371</v>
      </c>
      <c r="L2">
        <v>90</v>
      </c>
      <c r="M2" s="2">
        <f>L2*200*9</f>
        <v>162000</v>
      </c>
      <c r="N2" s="2"/>
      <c r="O2" s="6" t="str">
        <f>P2*200&amp;"원"</f>
        <v>36000원</v>
      </c>
      <c r="P2">
        <v>180</v>
      </c>
    </row>
    <row r="3" spans="1:16" x14ac:dyDescent="0.3">
      <c r="A3" t="s">
        <v>171</v>
      </c>
      <c r="B3" t="s">
        <v>169</v>
      </c>
      <c r="C3" t="s">
        <v>170</v>
      </c>
      <c r="D3" t="s">
        <v>404</v>
      </c>
      <c r="E3" t="str">
        <f t="shared" ref="E3:E66" si="0">"구매가 "&amp;TEXT(M3,"#,##0")&amp;"원"</f>
        <v>구매가 198,000원</v>
      </c>
      <c r="G3" s="5" t="s">
        <v>405</v>
      </c>
      <c r="H3" t="s">
        <v>171</v>
      </c>
      <c r="J3" t="s">
        <v>49</v>
      </c>
      <c r="K3" t="s">
        <v>371</v>
      </c>
      <c r="L3">
        <v>110</v>
      </c>
      <c r="M3" s="2">
        <f t="shared" ref="M3:M66" si="1">L3*200*9</f>
        <v>198000</v>
      </c>
      <c r="O3" s="6" t="str">
        <f t="shared" ref="O3:O66" si="2">P3*200&amp;"원"</f>
        <v>40000원</v>
      </c>
      <c r="P3">
        <v>200</v>
      </c>
    </row>
    <row r="4" spans="1:16" x14ac:dyDescent="0.3">
      <c r="A4" t="s">
        <v>172</v>
      </c>
      <c r="B4" t="s">
        <v>169</v>
      </c>
      <c r="C4" t="s">
        <v>170</v>
      </c>
      <c r="D4" t="s">
        <v>406</v>
      </c>
      <c r="E4" t="str">
        <f t="shared" si="0"/>
        <v>구매가 360,000원</v>
      </c>
      <c r="G4" s="5" t="s">
        <v>407</v>
      </c>
      <c r="H4" t="s">
        <v>172</v>
      </c>
      <c r="J4" t="s">
        <v>49</v>
      </c>
      <c r="K4" t="s">
        <v>371</v>
      </c>
      <c r="L4">
        <v>200</v>
      </c>
      <c r="M4" s="2">
        <f t="shared" si="1"/>
        <v>360000</v>
      </c>
      <c r="O4" s="6" t="str">
        <f t="shared" si="2"/>
        <v>48000원</v>
      </c>
      <c r="P4">
        <v>240</v>
      </c>
    </row>
    <row r="5" spans="1:16" x14ac:dyDescent="0.3">
      <c r="A5" t="s">
        <v>173</v>
      </c>
      <c r="B5" t="s">
        <v>169</v>
      </c>
      <c r="C5" t="s">
        <v>170</v>
      </c>
      <c r="D5" t="s">
        <v>406</v>
      </c>
      <c r="E5" t="str">
        <f t="shared" si="0"/>
        <v>구매가 360,000원</v>
      </c>
      <c r="G5" s="5" t="s">
        <v>408</v>
      </c>
      <c r="H5" t="s">
        <v>173</v>
      </c>
      <c r="J5" t="s">
        <v>49</v>
      </c>
      <c r="K5" t="s">
        <v>371</v>
      </c>
      <c r="L5">
        <v>200</v>
      </c>
      <c r="M5" s="2">
        <f t="shared" si="1"/>
        <v>360000</v>
      </c>
      <c r="O5" s="6" t="str">
        <f t="shared" si="2"/>
        <v>44000원</v>
      </c>
      <c r="P5">
        <v>220</v>
      </c>
    </row>
    <row r="6" spans="1:16" x14ac:dyDescent="0.3">
      <c r="A6" t="s">
        <v>174</v>
      </c>
      <c r="B6" t="s">
        <v>169</v>
      </c>
      <c r="C6" t="s">
        <v>170</v>
      </c>
      <c r="D6" t="s">
        <v>402</v>
      </c>
      <c r="E6" t="str">
        <f t="shared" si="0"/>
        <v>구매가 162,000원</v>
      </c>
      <c r="G6" s="5" t="s">
        <v>403</v>
      </c>
      <c r="H6" t="s">
        <v>174</v>
      </c>
      <c r="J6" t="s">
        <v>49</v>
      </c>
      <c r="K6" t="s">
        <v>371</v>
      </c>
      <c r="L6">
        <v>90</v>
      </c>
      <c r="M6" s="2">
        <f t="shared" si="1"/>
        <v>162000</v>
      </c>
      <c r="O6" s="6" t="str">
        <f t="shared" si="2"/>
        <v>36000원</v>
      </c>
      <c r="P6">
        <v>180</v>
      </c>
    </row>
    <row r="7" spans="1:16" x14ac:dyDescent="0.3">
      <c r="A7" t="s">
        <v>175</v>
      </c>
      <c r="B7" t="s">
        <v>169</v>
      </c>
      <c r="C7" t="s">
        <v>170</v>
      </c>
      <c r="D7" t="s">
        <v>409</v>
      </c>
      <c r="E7" t="str">
        <f t="shared" si="0"/>
        <v>구매가 162,000원</v>
      </c>
      <c r="G7" s="5" t="s">
        <v>410</v>
      </c>
      <c r="H7" t="s">
        <v>175</v>
      </c>
      <c r="J7" t="s">
        <v>49</v>
      </c>
      <c r="K7" t="s">
        <v>371</v>
      </c>
      <c r="L7">
        <v>90</v>
      </c>
      <c r="M7" s="2">
        <f t="shared" si="1"/>
        <v>162000</v>
      </c>
      <c r="O7" s="6" t="str">
        <f t="shared" si="2"/>
        <v>40000원</v>
      </c>
      <c r="P7">
        <v>200</v>
      </c>
    </row>
    <row r="8" spans="1:16" x14ac:dyDescent="0.3">
      <c r="A8" t="s">
        <v>176</v>
      </c>
      <c r="B8" t="s">
        <v>169</v>
      </c>
      <c r="C8" t="s">
        <v>170</v>
      </c>
      <c r="D8" t="s">
        <v>434</v>
      </c>
      <c r="E8" t="str">
        <f t="shared" si="0"/>
        <v>구매가 198,000원</v>
      </c>
      <c r="G8" t="s">
        <v>435</v>
      </c>
      <c r="H8" t="s">
        <v>176</v>
      </c>
      <c r="I8" t="s">
        <v>433</v>
      </c>
      <c r="J8" t="s">
        <v>49</v>
      </c>
      <c r="K8" t="s">
        <v>371</v>
      </c>
      <c r="L8">
        <v>110</v>
      </c>
      <c r="M8" s="2">
        <f t="shared" si="1"/>
        <v>198000</v>
      </c>
      <c r="O8" s="6" t="str">
        <f t="shared" si="2"/>
        <v>56000원</v>
      </c>
      <c r="P8">
        <v>280</v>
      </c>
    </row>
    <row r="9" spans="1:16" x14ac:dyDescent="0.3">
      <c r="A9" t="s">
        <v>177</v>
      </c>
      <c r="B9" t="s">
        <v>169</v>
      </c>
      <c r="C9" t="s">
        <v>170</v>
      </c>
      <c r="D9" t="s">
        <v>434</v>
      </c>
      <c r="E9" t="str">
        <f t="shared" si="0"/>
        <v>구매가 270,000원</v>
      </c>
      <c r="G9" s="5" t="s">
        <v>436</v>
      </c>
      <c r="H9" t="s">
        <v>177</v>
      </c>
      <c r="I9" t="s">
        <v>389</v>
      </c>
      <c r="J9" t="s">
        <v>49</v>
      </c>
      <c r="K9" t="s">
        <v>371</v>
      </c>
      <c r="L9">
        <v>150</v>
      </c>
      <c r="M9" s="2">
        <f t="shared" si="1"/>
        <v>270000</v>
      </c>
      <c r="O9" s="6" t="str">
        <f t="shared" si="2"/>
        <v>64000원</v>
      </c>
      <c r="P9">
        <v>320</v>
      </c>
    </row>
    <row r="10" spans="1:16" x14ac:dyDescent="0.3">
      <c r="A10" s="8" t="s">
        <v>178</v>
      </c>
      <c r="B10" t="s">
        <v>169</v>
      </c>
      <c r="C10" t="s">
        <v>170</v>
      </c>
      <c r="D10" t="s">
        <v>437</v>
      </c>
      <c r="E10" t="str">
        <f t="shared" si="0"/>
        <v>구매가 252,000원</v>
      </c>
      <c r="G10" s="5" t="s">
        <v>438</v>
      </c>
      <c r="H10" t="s">
        <v>178</v>
      </c>
      <c r="J10" t="s">
        <v>49</v>
      </c>
      <c r="K10" t="s">
        <v>371</v>
      </c>
      <c r="L10">
        <v>140</v>
      </c>
      <c r="M10" s="2">
        <f t="shared" si="1"/>
        <v>252000</v>
      </c>
      <c r="O10" s="6" t="str">
        <f t="shared" si="2"/>
        <v>48000원</v>
      </c>
      <c r="P10">
        <v>240</v>
      </c>
    </row>
    <row r="11" spans="1:16" x14ac:dyDescent="0.3">
      <c r="A11" t="s">
        <v>179</v>
      </c>
      <c r="B11" t="s">
        <v>169</v>
      </c>
      <c r="C11" t="s">
        <v>170</v>
      </c>
      <c r="D11" t="s">
        <v>474</v>
      </c>
      <c r="E11" t="str">
        <f t="shared" si="0"/>
        <v>구매가 288,000원</v>
      </c>
      <c r="G11" s="5" t="s">
        <v>481</v>
      </c>
      <c r="H11" t="s">
        <v>179</v>
      </c>
      <c r="J11" t="s">
        <v>49</v>
      </c>
      <c r="K11" t="s">
        <v>371</v>
      </c>
      <c r="L11">
        <v>160</v>
      </c>
      <c r="M11" s="2">
        <f t="shared" si="1"/>
        <v>288000</v>
      </c>
      <c r="O11" s="6" t="str">
        <f t="shared" si="2"/>
        <v>0원</v>
      </c>
    </row>
    <row r="12" spans="1:16" x14ac:dyDescent="0.3">
      <c r="A12" t="s">
        <v>180</v>
      </c>
      <c r="B12" t="s">
        <v>169</v>
      </c>
      <c r="C12" t="s">
        <v>170</v>
      </c>
      <c r="D12" t="s">
        <v>473</v>
      </c>
      <c r="E12" t="str">
        <f t="shared" si="0"/>
        <v>구매가 450,000원</v>
      </c>
      <c r="G12" s="5" t="s">
        <v>475</v>
      </c>
      <c r="H12" t="s">
        <v>180</v>
      </c>
      <c r="I12" t="s">
        <v>477</v>
      </c>
      <c r="J12" t="s">
        <v>49</v>
      </c>
      <c r="K12" t="s">
        <v>371</v>
      </c>
      <c r="L12">
        <v>250</v>
      </c>
      <c r="M12" s="2">
        <f t="shared" si="1"/>
        <v>450000</v>
      </c>
      <c r="O12" s="6" t="str">
        <f t="shared" si="2"/>
        <v>98000원</v>
      </c>
      <c r="P12">
        <v>490</v>
      </c>
    </row>
    <row r="13" spans="1:16" x14ac:dyDescent="0.3">
      <c r="A13" t="s">
        <v>181</v>
      </c>
      <c r="B13" t="s">
        <v>169</v>
      </c>
      <c r="C13" t="s">
        <v>170</v>
      </c>
      <c r="D13" t="s">
        <v>473</v>
      </c>
      <c r="E13" t="str">
        <f t="shared" si="0"/>
        <v>구매가 414,000원</v>
      </c>
      <c r="G13" s="5" t="s">
        <v>476</v>
      </c>
      <c r="H13" t="s">
        <v>181</v>
      </c>
      <c r="I13" t="s">
        <v>477</v>
      </c>
      <c r="J13" t="s">
        <v>49</v>
      </c>
      <c r="K13" t="s">
        <v>371</v>
      </c>
      <c r="L13">
        <v>230</v>
      </c>
      <c r="M13" s="2">
        <f t="shared" si="1"/>
        <v>414000</v>
      </c>
      <c r="O13" s="6" t="str">
        <f t="shared" si="2"/>
        <v>94000원</v>
      </c>
      <c r="P13">
        <v>470</v>
      </c>
    </row>
    <row r="14" spans="1:16" x14ac:dyDescent="0.3">
      <c r="A14" t="s">
        <v>182</v>
      </c>
      <c r="B14" t="s">
        <v>169</v>
      </c>
      <c r="C14" t="s">
        <v>170</v>
      </c>
      <c r="D14" t="s">
        <v>478</v>
      </c>
      <c r="E14" t="str">
        <f t="shared" si="0"/>
        <v>구매가 360,000원</v>
      </c>
      <c r="G14" s="5" t="s">
        <v>479</v>
      </c>
      <c r="H14" t="s">
        <v>182</v>
      </c>
      <c r="I14" t="s">
        <v>480</v>
      </c>
      <c r="J14" t="s">
        <v>49</v>
      </c>
      <c r="K14" t="s">
        <v>371</v>
      </c>
      <c r="L14">
        <v>200</v>
      </c>
      <c r="M14" s="2">
        <f t="shared" si="1"/>
        <v>360000</v>
      </c>
      <c r="O14" s="6" t="str">
        <f t="shared" si="2"/>
        <v>88000원</v>
      </c>
      <c r="P14">
        <v>440</v>
      </c>
    </row>
    <row r="15" spans="1:16" x14ac:dyDescent="0.3">
      <c r="A15" s="8" t="s">
        <v>183</v>
      </c>
      <c r="B15" t="s">
        <v>169</v>
      </c>
      <c r="C15" t="s">
        <v>170</v>
      </c>
      <c r="D15" t="s">
        <v>482</v>
      </c>
      <c r="E15" t="str">
        <f t="shared" si="0"/>
        <v>구매가 324,000원</v>
      </c>
      <c r="G15" s="5" t="s">
        <v>483</v>
      </c>
      <c r="H15" t="s">
        <v>183</v>
      </c>
      <c r="J15" t="s">
        <v>441</v>
      </c>
      <c r="K15" t="s">
        <v>371</v>
      </c>
      <c r="L15">
        <v>180</v>
      </c>
      <c r="M15" s="2">
        <f t="shared" si="1"/>
        <v>324000</v>
      </c>
      <c r="O15" s="6" t="str">
        <f t="shared" si="2"/>
        <v>84000원</v>
      </c>
      <c r="P15">
        <v>420</v>
      </c>
    </row>
    <row r="16" spans="1:16" x14ac:dyDescent="0.3">
      <c r="A16" t="s">
        <v>184</v>
      </c>
      <c r="B16" t="s">
        <v>169</v>
      </c>
      <c r="C16" t="s">
        <v>170</v>
      </c>
      <c r="D16" t="s">
        <v>506</v>
      </c>
      <c r="E16" t="str">
        <f t="shared" si="0"/>
        <v>구매가 360,000원</v>
      </c>
      <c r="G16" s="3"/>
      <c r="H16" t="s">
        <v>184</v>
      </c>
      <c r="J16" t="s">
        <v>441</v>
      </c>
      <c r="K16" t="s">
        <v>371</v>
      </c>
      <c r="L16">
        <v>200</v>
      </c>
      <c r="M16" s="2">
        <f t="shared" si="1"/>
        <v>360000</v>
      </c>
      <c r="O16" s="6" t="str">
        <f t="shared" si="2"/>
        <v>116000원</v>
      </c>
      <c r="P16">
        <v>580</v>
      </c>
    </row>
    <row r="17" spans="1:16" x14ac:dyDescent="0.3">
      <c r="A17" s="7" t="s">
        <v>185</v>
      </c>
      <c r="B17" t="s">
        <v>169</v>
      </c>
      <c r="C17" t="s">
        <v>170</v>
      </c>
      <c r="D17" t="s">
        <v>507</v>
      </c>
      <c r="E17" t="str">
        <f t="shared" si="0"/>
        <v>구매가 324,000원</v>
      </c>
      <c r="G17" s="3"/>
      <c r="H17" t="s">
        <v>185</v>
      </c>
      <c r="J17" t="s">
        <v>441</v>
      </c>
      <c r="K17" t="s">
        <v>371</v>
      </c>
      <c r="L17">
        <v>180</v>
      </c>
      <c r="M17" s="2">
        <f t="shared" si="1"/>
        <v>324000</v>
      </c>
      <c r="O17" s="6" t="str">
        <f t="shared" si="2"/>
        <v>96000원</v>
      </c>
      <c r="P17">
        <v>480</v>
      </c>
    </row>
    <row r="18" spans="1:16" x14ac:dyDescent="0.3">
      <c r="A18" t="s">
        <v>186</v>
      </c>
      <c r="B18" t="s">
        <v>169</v>
      </c>
      <c r="C18" t="s">
        <v>170</v>
      </c>
      <c r="E18" t="str">
        <f t="shared" si="0"/>
        <v>구매가 0원</v>
      </c>
      <c r="G18" s="3"/>
      <c r="H18" t="s">
        <v>186</v>
      </c>
      <c r="I18" t="s">
        <v>63</v>
      </c>
      <c r="J18" t="s">
        <v>49</v>
      </c>
      <c r="K18" t="s">
        <v>65</v>
      </c>
      <c r="M18" s="2">
        <f t="shared" si="1"/>
        <v>0</v>
      </c>
      <c r="O18" s="6" t="str">
        <f t="shared" si="2"/>
        <v>0원</v>
      </c>
    </row>
    <row r="19" spans="1:16" x14ac:dyDescent="0.3">
      <c r="A19" t="s">
        <v>187</v>
      </c>
      <c r="B19" t="s">
        <v>169</v>
      </c>
      <c r="C19" t="s">
        <v>170</v>
      </c>
      <c r="E19" t="str">
        <f t="shared" si="0"/>
        <v>구매가 0원</v>
      </c>
      <c r="G19" s="3"/>
      <c r="H19" t="s">
        <v>187</v>
      </c>
      <c r="I19" t="s">
        <v>63</v>
      </c>
      <c r="J19" t="s">
        <v>49</v>
      </c>
      <c r="K19" t="s">
        <v>65</v>
      </c>
      <c r="M19" s="2">
        <f t="shared" si="1"/>
        <v>0</v>
      </c>
      <c r="O19" s="6" t="str">
        <f t="shared" si="2"/>
        <v>0원</v>
      </c>
    </row>
    <row r="20" spans="1:16" x14ac:dyDescent="0.3">
      <c r="A20" t="s">
        <v>188</v>
      </c>
      <c r="B20" t="s">
        <v>169</v>
      </c>
      <c r="C20" t="s">
        <v>170</v>
      </c>
      <c r="E20" t="str">
        <f t="shared" si="0"/>
        <v>구매가 0원</v>
      </c>
      <c r="G20" s="3"/>
      <c r="H20" t="s">
        <v>188</v>
      </c>
      <c r="I20" t="s">
        <v>63</v>
      </c>
      <c r="J20" t="s">
        <v>49</v>
      </c>
      <c r="K20" t="s">
        <v>65</v>
      </c>
      <c r="M20" s="2">
        <f t="shared" si="1"/>
        <v>0</v>
      </c>
      <c r="O20" s="6" t="str">
        <f t="shared" si="2"/>
        <v>0원</v>
      </c>
    </row>
    <row r="21" spans="1:16" x14ac:dyDescent="0.3">
      <c r="A21" t="s">
        <v>189</v>
      </c>
      <c r="B21" t="s">
        <v>169</v>
      </c>
      <c r="C21" t="s">
        <v>170</v>
      </c>
      <c r="E21" t="str">
        <f t="shared" si="0"/>
        <v>구매가 0원</v>
      </c>
      <c r="G21" s="3"/>
      <c r="H21" t="s">
        <v>189</v>
      </c>
      <c r="I21" t="s">
        <v>63</v>
      </c>
      <c r="J21" t="s">
        <v>49</v>
      </c>
      <c r="K21" t="s">
        <v>65</v>
      </c>
      <c r="M21" s="2">
        <f t="shared" si="1"/>
        <v>0</v>
      </c>
      <c r="O21" s="6" t="str">
        <f t="shared" si="2"/>
        <v>0원</v>
      </c>
    </row>
    <row r="22" spans="1:16" x14ac:dyDescent="0.3">
      <c r="A22" t="s">
        <v>190</v>
      </c>
      <c r="B22" t="s">
        <v>169</v>
      </c>
      <c r="C22" t="s">
        <v>170</v>
      </c>
      <c r="E22" t="str">
        <f t="shared" si="0"/>
        <v>구매가 0원</v>
      </c>
      <c r="G22" s="3"/>
      <c r="H22" t="s">
        <v>190</v>
      </c>
      <c r="I22" t="s">
        <v>63</v>
      </c>
      <c r="J22" t="s">
        <v>49</v>
      </c>
      <c r="K22" t="s">
        <v>65</v>
      </c>
      <c r="M22" s="2">
        <f t="shared" si="1"/>
        <v>0</v>
      </c>
      <c r="O22" s="6" t="str">
        <f t="shared" si="2"/>
        <v>0원</v>
      </c>
    </row>
    <row r="23" spans="1:16" x14ac:dyDescent="0.3">
      <c r="A23" t="s">
        <v>191</v>
      </c>
      <c r="B23" t="s">
        <v>169</v>
      </c>
      <c r="C23" t="s">
        <v>170</v>
      </c>
      <c r="E23" t="str">
        <f t="shared" si="0"/>
        <v>구매가 0원</v>
      </c>
      <c r="G23" s="3"/>
      <c r="H23" t="s">
        <v>191</v>
      </c>
      <c r="I23" t="s">
        <v>63</v>
      </c>
      <c r="J23" t="s">
        <v>49</v>
      </c>
      <c r="K23" t="s">
        <v>65</v>
      </c>
      <c r="M23" s="2">
        <f t="shared" si="1"/>
        <v>0</v>
      </c>
      <c r="O23" s="6" t="str">
        <f t="shared" si="2"/>
        <v>0원</v>
      </c>
    </row>
    <row r="24" spans="1:16" x14ac:dyDescent="0.3">
      <c r="A24" t="s">
        <v>192</v>
      </c>
      <c r="B24" t="s">
        <v>169</v>
      </c>
      <c r="C24" t="s">
        <v>170</v>
      </c>
      <c r="E24" t="str">
        <f t="shared" si="0"/>
        <v>구매가 0원</v>
      </c>
      <c r="G24" s="3"/>
      <c r="H24" t="s">
        <v>192</v>
      </c>
      <c r="I24" t="s">
        <v>63</v>
      </c>
      <c r="J24" t="s">
        <v>49</v>
      </c>
      <c r="K24" t="s">
        <v>65</v>
      </c>
      <c r="M24" s="2">
        <f t="shared" si="1"/>
        <v>0</v>
      </c>
      <c r="O24" s="6" t="str">
        <f t="shared" si="2"/>
        <v>0원</v>
      </c>
    </row>
    <row r="25" spans="1:16" x14ac:dyDescent="0.3">
      <c r="A25" t="s">
        <v>193</v>
      </c>
      <c r="B25" t="s">
        <v>169</v>
      </c>
      <c r="C25" t="s">
        <v>170</v>
      </c>
      <c r="E25" t="str">
        <f t="shared" si="0"/>
        <v>구매가 0원</v>
      </c>
      <c r="G25" s="3"/>
      <c r="H25" t="s">
        <v>193</v>
      </c>
      <c r="I25" t="s">
        <v>63</v>
      </c>
      <c r="J25" t="s">
        <v>49</v>
      </c>
      <c r="K25" t="s">
        <v>65</v>
      </c>
      <c r="M25" s="2">
        <f t="shared" si="1"/>
        <v>0</v>
      </c>
      <c r="O25" s="6" t="str">
        <f t="shared" si="2"/>
        <v>0원</v>
      </c>
    </row>
    <row r="26" spans="1:16" x14ac:dyDescent="0.3">
      <c r="A26" t="s">
        <v>194</v>
      </c>
      <c r="B26" t="s">
        <v>169</v>
      </c>
      <c r="C26" t="s">
        <v>170</v>
      </c>
      <c r="E26" t="str">
        <f t="shared" si="0"/>
        <v>구매가 0원</v>
      </c>
      <c r="G26" s="3"/>
      <c r="H26" t="s">
        <v>194</v>
      </c>
      <c r="I26" t="s">
        <v>63</v>
      </c>
      <c r="J26" t="s">
        <v>49</v>
      </c>
      <c r="K26" t="s">
        <v>65</v>
      </c>
      <c r="M26" s="2">
        <f t="shared" si="1"/>
        <v>0</v>
      </c>
      <c r="O26" s="6" t="str">
        <f t="shared" si="2"/>
        <v>0원</v>
      </c>
    </row>
    <row r="27" spans="1:16" x14ac:dyDescent="0.3">
      <c r="A27" t="s">
        <v>195</v>
      </c>
      <c r="B27" t="s">
        <v>169</v>
      </c>
      <c r="C27" t="s">
        <v>170</v>
      </c>
      <c r="E27" t="str">
        <f t="shared" si="0"/>
        <v>구매가 0원</v>
      </c>
      <c r="G27" s="3"/>
      <c r="H27" t="s">
        <v>195</v>
      </c>
      <c r="I27" t="s">
        <v>63</v>
      </c>
      <c r="J27" t="s">
        <v>49</v>
      </c>
      <c r="K27" t="s">
        <v>65</v>
      </c>
      <c r="M27" s="2">
        <f t="shared" si="1"/>
        <v>0</v>
      </c>
      <c r="O27" s="6" t="str">
        <f t="shared" si="2"/>
        <v>0원</v>
      </c>
    </row>
    <row r="28" spans="1:16" x14ac:dyDescent="0.3">
      <c r="A28" t="s">
        <v>196</v>
      </c>
      <c r="B28" t="s">
        <v>169</v>
      </c>
      <c r="C28" t="s">
        <v>170</v>
      </c>
      <c r="E28" t="str">
        <f t="shared" si="0"/>
        <v>구매가 0원</v>
      </c>
      <c r="G28" s="3"/>
      <c r="H28" t="s">
        <v>196</v>
      </c>
      <c r="I28" t="s">
        <v>63</v>
      </c>
      <c r="J28" t="s">
        <v>49</v>
      </c>
      <c r="K28" t="s">
        <v>65</v>
      </c>
      <c r="M28" s="2">
        <f t="shared" si="1"/>
        <v>0</v>
      </c>
      <c r="O28" s="6" t="str">
        <f t="shared" si="2"/>
        <v>0원</v>
      </c>
    </row>
    <row r="29" spans="1:16" x14ac:dyDescent="0.3">
      <c r="A29" t="s">
        <v>197</v>
      </c>
      <c r="B29" t="s">
        <v>169</v>
      </c>
      <c r="C29" t="s">
        <v>170</v>
      </c>
      <c r="E29" t="str">
        <f t="shared" si="0"/>
        <v>구매가 0원</v>
      </c>
      <c r="G29" s="3"/>
      <c r="H29" t="s">
        <v>197</v>
      </c>
      <c r="I29" t="s">
        <v>63</v>
      </c>
      <c r="J29" t="s">
        <v>49</v>
      </c>
      <c r="K29" t="s">
        <v>65</v>
      </c>
      <c r="M29" s="2">
        <f t="shared" si="1"/>
        <v>0</v>
      </c>
      <c r="O29" s="6" t="str">
        <f t="shared" si="2"/>
        <v>0원</v>
      </c>
    </row>
    <row r="30" spans="1:16" x14ac:dyDescent="0.3">
      <c r="A30" t="s">
        <v>198</v>
      </c>
      <c r="B30" t="s">
        <v>169</v>
      </c>
      <c r="C30" t="s">
        <v>170</v>
      </c>
      <c r="E30" t="str">
        <f t="shared" si="0"/>
        <v>구매가 0원</v>
      </c>
      <c r="G30" s="3"/>
      <c r="H30" t="s">
        <v>198</v>
      </c>
      <c r="I30" t="s">
        <v>63</v>
      </c>
      <c r="J30" t="s">
        <v>49</v>
      </c>
      <c r="K30" t="s">
        <v>65</v>
      </c>
      <c r="M30" s="2">
        <f t="shared" si="1"/>
        <v>0</v>
      </c>
      <c r="O30" s="6" t="str">
        <f t="shared" si="2"/>
        <v>0원</v>
      </c>
    </row>
    <row r="31" spans="1:16" x14ac:dyDescent="0.3">
      <c r="A31" t="s">
        <v>199</v>
      </c>
      <c r="B31" t="s">
        <v>169</v>
      </c>
      <c r="C31" t="s">
        <v>170</v>
      </c>
      <c r="E31" t="str">
        <f t="shared" si="0"/>
        <v>구매가 0원</v>
      </c>
      <c r="G31" s="3"/>
      <c r="H31" t="s">
        <v>199</v>
      </c>
      <c r="I31" t="s">
        <v>63</v>
      </c>
      <c r="J31" t="s">
        <v>49</v>
      </c>
      <c r="K31" t="s">
        <v>65</v>
      </c>
      <c r="M31" s="2">
        <f t="shared" si="1"/>
        <v>0</v>
      </c>
      <c r="O31" s="6" t="str">
        <f t="shared" si="2"/>
        <v>0원</v>
      </c>
    </row>
    <row r="32" spans="1:16" x14ac:dyDescent="0.3">
      <c r="A32" t="s">
        <v>200</v>
      </c>
      <c r="B32" t="s">
        <v>169</v>
      </c>
      <c r="C32" t="s">
        <v>170</v>
      </c>
      <c r="E32" t="str">
        <f t="shared" si="0"/>
        <v>구매가 0원</v>
      </c>
      <c r="G32" s="3"/>
      <c r="H32" t="s">
        <v>200</v>
      </c>
      <c r="I32" t="s">
        <v>63</v>
      </c>
      <c r="J32" t="s">
        <v>49</v>
      </c>
      <c r="K32" t="s">
        <v>65</v>
      </c>
      <c r="M32" s="2">
        <f t="shared" si="1"/>
        <v>0</v>
      </c>
      <c r="O32" s="6" t="str">
        <f t="shared" si="2"/>
        <v>0원</v>
      </c>
    </row>
    <row r="33" spans="1:15" x14ac:dyDescent="0.3">
      <c r="A33" t="s">
        <v>201</v>
      </c>
      <c r="B33" t="s">
        <v>169</v>
      </c>
      <c r="C33" t="s">
        <v>170</v>
      </c>
      <c r="E33" t="str">
        <f t="shared" si="0"/>
        <v>구매가 0원</v>
      </c>
      <c r="G33" s="3"/>
      <c r="H33" t="s">
        <v>201</v>
      </c>
      <c r="I33" t="s">
        <v>63</v>
      </c>
      <c r="J33" t="s">
        <v>49</v>
      </c>
      <c r="K33" t="s">
        <v>65</v>
      </c>
      <c r="M33" s="2">
        <f t="shared" si="1"/>
        <v>0</v>
      </c>
      <c r="O33" s="6" t="str">
        <f t="shared" si="2"/>
        <v>0원</v>
      </c>
    </row>
    <row r="34" spans="1:15" x14ac:dyDescent="0.3">
      <c r="A34" t="s">
        <v>202</v>
      </c>
      <c r="B34" t="s">
        <v>169</v>
      </c>
      <c r="C34" t="s">
        <v>170</v>
      </c>
      <c r="E34" t="str">
        <f t="shared" si="0"/>
        <v>구매가 0원</v>
      </c>
      <c r="G34" s="3"/>
      <c r="H34" t="s">
        <v>202</v>
      </c>
      <c r="I34" t="s">
        <v>63</v>
      </c>
      <c r="J34" t="s">
        <v>49</v>
      </c>
      <c r="K34" t="s">
        <v>65</v>
      </c>
      <c r="M34" s="2">
        <f t="shared" si="1"/>
        <v>0</v>
      </c>
      <c r="O34" s="6" t="str">
        <f t="shared" si="2"/>
        <v>0원</v>
      </c>
    </row>
    <row r="35" spans="1:15" x14ac:dyDescent="0.3">
      <c r="A35" t="s">
        <v>203</v>
      </c>
      <c r="B35" t="s">
        <v>169</v>
      </c>
      <c r="C35" t="s">
        <v>170</v>
      </c>
      <c r="E35" t="str">
        <f t="shared" si="0"/>
        <v>구매가 0원</v>
      </c>
      <c r="G35" s="3"/>
      <c r="H35" t="s">
        <v>203</v>
      </c>
      <c r="I35" t="s">
        <v>63</v>
      </c>
      <c r="J35" t="s">
        <v>49</v>
      </c>
      <c r="K35" t="s">
        <v>65</v>
      </c>
      <c r="M35" s="2">
        <f t="shared" si="1"/>
        <v>0</v>
      </c>
      <c r="O35" s="6" t="str">
        <f t="shared" si="2"/>
        <v>0원</v>
      </c>
    </row>
    <row r="36" spans="1:15" x14ac:dyDescent="0.3">
      <c r="A36" t="s">
        <v>204</v>
      </c>
      <c r="B36" t="s">
        <v>169</v>
      </c>
      <c r="C36" t="s">
        <v>170</v>
      </c>
      <c r="E36" t="str">
        <f t="shared" si="0"/>
        <v>구매가 0원</v>
      </c>
      <c r="G36" s="3"/>
      <c r="H36" t="s">
        <v>204</v>
      </c>
      <c r="I36" t="s">
        <v>63</v>
      </c>
      <c r="J36" t="s">
        <v>49</v>
      </c>
      <c r="K36" t="s">
        <v>65</v>
      </c>
      <c r="M36" s="2">
        <f t="shared" si="1"/>
        <v>0</v>
      </c>
      <c r="O36" s="6" t="str">
        <f t="shared" si="2"/>
        <v>0원</v>
      </c>
    </row>
    <row r="37" spans="1:15" x14ac:dyDescent="0.3">
      <c r="A37" t="s">
        <v>205</v>
      </c>
      <c r="B37" t="s">
        <v>169</v>
      </c>
      <c r="C37" t="s">
        <v>170</v>
      </c>
      <c r="E37" t="str">
        <f t="shared" si="0"/>
        <v>구매가 0원</v>
      </c>
      <c r="G37" s="3"/>
      <c r="H37" t="s">
        <v>205</v>
      </c>
      <c r="I37" t="s">
        <v>63</v>
      </c>
      <c r="J37" t="s">
        <v>49</v>
      </c>
      <c r="K37" t="s">
        <v>65</v>
      </c>
      <c r="M37" s="2">
        <f t="shared" si="1"/>
        <v>0</v>
      </c>
      <c r="O37" s="6" t="str">
        <f t="shared" si="2"/>
        <v>0원</v>
      </c>
    </row>
    <row r="38" spans="1:15" x14ac:dyDescent="0.3">
      <c r="A38" t="s">
        <v>206</v>
      </c>
      <c r="B38" t="s">
        <v>169</v>
      </c>
      <c r="C38" t="s">
        <v>170</v>
      </c>
      <c r="E38" t="str">
        <f t="shared" si="0"/>
        <v>구매가 0원</v>
      </c>
      <c r="G38" s="3"/>
      <c r="H38" t="s">
        <v>206</v>
      </c>
      <c r="I38" t="s">
        <v>63</v>
      </c>
      <c r="J38" t="s">
        <v>49</v>
      </c>
      <c r="K38" t="s">
        <v>65</v>
      </c>
      <c r="M38" s="2">
        <f t="shared" si="1"/>
        <v>0</v>
      </c>
      <c r="O38" s="6" t="str">
        <f t="shared" si="2"/>
        <v>0원</v>
      </c>
    </row>
    <row r="39" spans="1:15" x14ac:dyDescent="0.3">
      <c r="A39" t="s">
        <v>207</v>
      </c>
      <c r="B39" t="s">
        <v>169</v>
      </c>
      <c r="C39" t="s">
        <v>170</v>
      </c>
      <c r="E39" t="str">
        <f t="shared" si="0"/>
        <v>구매가 0원</v>
      </c>
      <c r="G39" s="3"/>
      <c r="H39" t="s">
        <v>207</v>
      </c>
      <c r="I39" t="s">
        <v>63</v>
      </c>
      <c r="J39" t="s">
        <v>49</v>
      </c>
      <c r="K39" t="s">
        <v>65</v>
      </c>
      <c r="M39" s="2">
        <f t="shared" si="1"/>
        <v>0</v>
      </c>
      <c r="O39" s="6" t="str">
        <f t="shared" si="2"/>
        <v>0원</v>
      </c>
    </row>
    <row r="40" spans="1:15" x14ac:dyDescent="0.3">
      <c r="A40" t="s">
        <v>208</v>
      </c>
      <c r="B40" t="s">
        <v>169</v>
      </c>
      <c r="C40" t="s">
        <v>170</v>
      </c>
      <c r="E40" t="str">
        <f t="shared" si="0"/>
        <v>구매가 0원</v>
      </c>
      <c r="G40" s="3"/>
      <c r="H40" t="s">
        <v>208</v>
      </c>
      <c r="I40" t="s">
        <v>63</v>
      </c>
      <c r="J40" t="s">
        <v>49</v>
      </c>
      <c r="K40" t="s">
        <v>65</v>
      </c>
      <c r="M40" s="2">
        <f t="shared" si="1"/>
        <v>0</v>
      </c>
      <c r="O40" s="6" t="str">
        <f t="shared" si="2"/>
        <v>0원</v>
      </c>
    </row>
    <row r="41" spans="1:15" x14ac:dyDescent="0.3">
      <c r="A41" t="s">
        <v>209</v>
      </c>
      <c r="B41" t="s">
        <v>169</v>
      </c>
      <c r="C41" t="s">
        <v>170</v>
      </c>
      <c r="E41" t="str">
        <f t="shared" si="0"/>
        <v>구매가 0원</v>
      </c>
      <c r="G41" s="3"/>
      <c r="H41" t="s">
        <v>209</v>
      </c>
      <c r="I41" t="s">
        <v>63</v>
      </c>
      <c r="J41" t="s">
        <v>49</v>
      </c>
      <c r="K41" t="s">
        <v>65</v>
      </c>
      <c r="M41" s="2">
        <f t="shared" si="1"/>
        <v>0</v>
      </c>
      <c r="O41" s="6" t="str">
        <f t="shared" si="2"/>
        <v>0원</v>
      </c>
    </row>
    <row r="42" spans="1:15" x14ac:dyDescent="0.3">
      <c r="A42" t="s">
        <v>210</v>
      </c>
      <c r="B42" t="s">
        <v>169</v>
      </c>
      <c r="C42" t="s">
        <v>170</v>
      </c>
      <c r="E42" t="str">
        <f t="shared" si="0"/>
        <v>구매가 0원</v>
      </c>
      <c r="G42" s="3"/>
      <c r="H42" t="s">
        <v>210</v>
      </c>
      <c r="I42" t="s">
        <v>63</v>
      </c>
      <c r="J42" t="s">
        <v>49</v>
      </c>
      <c r="K42" t="s">
        <v>65</v>
      </c>
      <c r="M42" s="2">
        <f t="shared" si="1"/>
        <v>0</v>
      </c>
      <c r="O42" s="6" t="str">
        <f t="shared" si="2"/>
        <v>0원</v>
      </c>
    </row>
    <row r="43" spans="1:15" x14ac:dyDescent="0.3">
      <c r="A43" t="s">
        <v>211</v>
      </c>
      <c r="B43" t="s">
        <v>169</v>
      </c>
      <c r="C43" t="s">
        <v>170</v>
      </c>
      <c r="E43" t="str">
        <f t="shared" si="0"/>
        <v>구매가 0원</v>
      </c>
      <c r="G43" s="3"/>
      <c r="H43" t="s">
        <v>211</v>
      </c>
      <c r="I43" t="s">
        <v>63</v>
      </c>
      <c r="J43" t="s">
        <v>49</v>
      </c>
      <c r="K43" t="s">
        <v>65</v>
      </c>
      <c r="M43" s="2">
        <f t="shared" si="1"/>
        <v>0</v>
      </c>
      <c r="O43" s="6" t="str">
        <f t="shared" si="2"/>
        <v>0원</v>
      </c>
    </row>
    <row r="44" spans="1:15" x14ac:dyDescent="0.3">
      <c r="A44" t="s">
        <v>212</v>
      </c>
      <c r="B44" t="s">
        <v>169</v>
      </c>
      <c r="C44" t="s">
        <v>170</v>
      </c>
      <c r="E44" t="str">
        <f t="shared" si="0"/>
        <v>구매가 0원</v>
      </c>
      <c r="G44" s="3"/>
      <c r="H44" t="s">
        <v>212</v>
      </c>
      <c r="I44" t="s">
        <v>63</v>
      </c>
      <c r="J44" t="s">
        <v>49</v>
      </c>
      <c r="K44" t="s">
        <v>65</v>
      </c>
      <c r="M44" s="2">
        <f t="shared" si="1"/>
        <v>0</v>
      </c>
      <c r="O44" s="6" t="str">
        <f t="shared" si="2"/>
        <v>0원</v>
      </c>
    </row>
    <row r="45" spans="1:15" x14ac:dyDescent="0.3">
      <c r="A45" t="s">
        <v>213</v>
      </c>
      <c r="B45" t="s">
        <v>169</v>
      </c>
      <c r="C45" t="s">
        <v>170</v>
      </c>
      <c r="E45" t="str">
        <f t="shared" si="0"/>
        <v>구매가 0원</v>
      </c>
      <c r="G45" s="3"/>
      <c r="H45" t="s">
        <v>213</v>
      </c>
      <c r="I45" t="s">
        <v>63</v>
      </c>
      <c r="J45" t="s">
        <v>49</v>
      </c>
      <c r="K45" t="s">
        <v>65</v>
      </c>
      <c r="M45" s="2">
        <f t="shared" si="1"/>
        <v>0</v>
      </c>
      <c r="O45" s="6" t="str">
        <f t="shared" si="2"/>
        <v>0원</v>
      </c>
    </row>
    <row r="46" spans="1:15" x14ac:dyDescent="0.3">
      <c r="A46" t="s">
        <v>214</v>
      </c>
      <c r="B46" t="s">
        <v>169</v>
      </c>
      <c r="C46" t="s">
        <v>170</v>
      </c>
      <c r="E46" t="str">
        <f t="shared" si="0"/>
        <v>구매가 0원</v>
      </c>
      <c r="G46" s="3"/>
      <c r="H46" t="s">
        <v>214</v>
      </c>
      <c r="I46" t="s">
        <v>63</v>
      </c>
      <c r="J46" t="s">
        <v>49</v>
      </c>
      <c r="K46" t="s">
        <v>65</v>
      </c>
      <c r="M46" s="2">
        <f t="shared" si="1"/>
        <v>0</v>
      </c>
      <c r="O46" s="6" t="str">
        <f t="shared" si="2"/>
        <v>0원</v>
      </c>
    </row>
    <row r="47" spans="1:15" x14ac:dyDescent="0.3">
      <c r="A47" t="s">
        <v>215</v>
      </c>
      <c r="B47" t="s">
        <v>169</v>
      </c>
      <c r="C47" t="s">
        <v>170</v>
      </c>
      <c r="E47" t="str">
        <f t="shared" si="0"/>
        <v>구매가 0원</v>
      </c>
      <c r="G47" s="3"/>
      <c r="H47" t="s">
        <v>215</v>
      </c>
      <c r="I47" t="s">
        <v>63</v>
      </c>
      <c r="J47" t="s">
        <v>49</v>
      </c>
      <c r="K47" t="s">
        <v>65</v>
      </c>
      <c r="M47" s="2">
        <f t="shared" si="1"/>
        <v>0</v>
      </c>
      <c r="O47" s="6" t="str">
        <f t="shared" si="2"/>
        <v>0원</v>
      </c>
    </row>
    <row r="48" spans="1:15" x14ac:dyDescent="0.3">
      <c r="A48" t="s">
        <v>216</v>
      </c>
      <c r="B48" t="s">
        <v>169</v>
      </c>
      <c r="C48" t="s">
        <v>170</v>
      </c>
      <c r="E48" t="str">
        <f t="shared" si="0"/>
        <v>구매가 0원</v>
      </c>
      <c r="G48" s="3"/>
      <c r="H48" t="s">
        <v>216</v>
      </c>
      <c r="I48" t="s">
        <v>63</v>
      </c>
      <c r="J48" t="s">
        <v>49</v>
      </c>
      <c r="K48" t="s">
        <v>65</v>
      </c>
      <c r="M48" s="2">
        <f t="shared" si="1"/>
        <v>0</v>
      </c>
      <c r="O48" s="6" t="str">
        <f t="shared" si="2"/>
        <v>0원</v>
      </c>
    </row>
    <row r="49" spans="1:15" x14ac:dyDescent="0.3">
      <c r="A49" t="s">
        <v>217</v>
      </c>
      <c r="B49" t="s">
        <v>169</v>
      </c>
      <c r="C49" t="s">
        <v>170</v>
      </c>
      <c r="E49" t="str">
        <f t="shared" si="0"/>
        <v>구매가 0원</v>
      </c>
      <c r="G49" s="3"/>
      <c r="H49" t="s">
        <v>217</v>
      </c>
      <c r="I49" t="s">
        <v>63</v>
      </c>
      <c r="J49" t="s">
        <v>49</v>
      </c>
      <c r="K49" t="s">
        <v>65</v>
      </c>
      <c r="M49" s="2">
        <f t="shared" si="1"/>
        <v>0</v>
      </c>
      <c r="O49" s="6" t="str">
        <f t="shared" si="2"/>
        <v>0원</v>
      </c>
    </row>
    <row r="50" spans="1:15" x14ac:dyDescent="0.3">
      <c r="A50" t="s">
        <v>218</v>
      </c>
      <c r="B50" t="s">
        <v>169</v>
      </c>
      <c r="C50" t="s">
        <v>170</v>
      </c>
      <c r="E50" t="str">
        <f t="shared" si="0"/>
        <v>구매가 0원</v>
      </c>
      <c r="G50" s="3"/>
      <c r="H50" t="s">
        <v>218</v>
      </c>
      <c r="I50" t="s">
        <v>63</v>
      </c>
      <c r="J50" t="s">
        <v>49</v>
      </c>
      <c r="K50" t="s">
        <v>65</v>
      </c>
      <c r="M50" s="2">
        <f t="shared" si="1"/>
        <v>0</v>
      </c>
      <c r="O50" s="6" t="str">
        <f t="shared" si="2"/>
        <v>0원</v>
      </c>
    </row>
    <row r="51" spans="1:15" x14ac:dyDescent="0.3">
      <c r="A51" t="s">
        <v>219</v>
      </c>
      <c r="B51" t="s">
        <v>169</v>
      </c>
      <c r="C51" t="s">
        <v>170</v>
      </c>
      <c r="E51" t="str">
        <f t="shared" si="0"/>
        <v>구매가 0원</v>
      </c>
      <c r="G51" s="3"/>
      <c r="H51" t="s">
        <v>219</v>
      </c>
      <c r="I51" t="s">
        <v>63</v>
      </c>
      <c r="J51" t="s">
        <v>49</v>
      </c>
      <c r="K51" t="s">
        <v>65</v>
      </c>
      <c r="M51" s="2">
        <f t="shared" si="1"/>
        <v>0</v>
      </c>
      <c r="O51" s="6" t="str">
        <f t="shared" si="2"/>
        <v>0원</v>
      </c>
    </row>
    <row r="52" spans="1:15" x14ac:dyDescent="0.3">
      <c r="A52" t="s">
        <v>220</v>
      </c>
      <c r="B52" t="s">
        <v>169</v>
      </c>
      <c r="C52" t="s">
        <v>170</v>
      </c>
      <c r="E52" t="str">
        <f t="shared" si="0"/>
        <v>구매가 0원</v>
      </c>
      <c r="G52" s="3"/>
      <c r="H52" t="s">
        <v>220</v>
      </c>
      <c r="I52" t="s">
        <v>63</v>
      </c>
      <c r="J52" t="s">
        <v>49</v>
      </c>
      <c r="K52" t="s">
        <v>65</v>
      </c>
      <c r="M52" s="2">
        <f t="shared" si="1"/>
        <v>0</v>
      </c>
      <c r="O52" s="6" t="str">
        <f t="shared" si="2"/>
        <v>0원</v>
      </c>
    </row>
    <row r="53" spans="1:15" x14ac:dyDescent="0.3">
      <c r="A53" t="s">
        <v>221</v>
      </c>
      <c r="B53" t="s">
        <v>169</v>
      </c>
      <c r="C53" t="s">
        <v>170</v>
      </c>
      <c r="E53" t="str">
        <f t="shared" si="0"/>
        <v>구매가 0원</v>
      </c>
      <c r="G53" s="3"/>
      <c r="H53" t="s">
        <v>221</v>
      </c>
      <c r="I53" t="s">
        <v>63</v>
      </c>
      <c r="J53" t="s">
        <v>49</v>
      </c>
      <c r="K53" t="s">
        <v>65</v>
      </c>
      <c r="M53" s="2">
        <f t="shared" si="1"/>
        <v>0</v>
      </c>
      <c r="O53" s="6" t="str">
        <f t="shared" si="2"/>
        <v>0원</v>
      </c>
    </row>
    <row r="54" spans="1:15" x14ac:dyDescent="0.3">
      <c r="A54" t="s">
        <v>222</v>
      </c>
      <c r="B54" t="s">
        <v>169</v>
      </c>
      <c r="C54" t="s">
        <v>170</v>
      </c>
      <c r="E54" t="str">
        <f t="shared" si="0"/>
        <v>구매가 0원</v>
      </c>
      <c r="G54" s="3"/>
      <c r="H54" t="s">
        <v>222</v>
      </c>
      <c r="I54" t="s">
        <v>63</v>
      </c>
      <c r="J54" t="s">
        <v>49</v>
      </c>
      <c r="K54" t="s">
        <v>65</v>
      </c>
      <c r="M54" s="2">
        <f t="shared" si="1"/>
        <v>0</v>
      </c>
      <c r="O54" s="6" t="str">
        <f t="shared" si="2"/>
        <v>0원</v>
      </c>
    </row>
    <row r="55" spans="1:15" x14ac:dyDescent="0.3">
      <c r="A55" t="s">
        <v>223</v>
      </c>
      <c r="B55" t="s">
        <v>169</v>
      </c>
      <c r="C55" t="s">
        <v>170</v>
      </c>
      <c r="E55" t="str">
        <f t="shared" si="0"/>
        <v>구매가 0원</v>
      </c>
      <c r="G55" s="3"/>
      <c r="H55" t="s">
        <v>223</v>
      </c>
      <c r="I55" t="s">
        <v>63</v>
      </c>
      <c r="J55" t="s">
        <v>49</v>
      </c>
      <c r="K55" t="s">
        <v>65</v>
      </c>
      <c r="M55" s="2">
        <f t="shared" si="1"/>
        <v>0</v>
      </c>
      <c r="O55" s="6" t="str">
        <f t="shared" si="2"/>
        <v>0원</v>
      </c>
    </row>
    <row r="56" spans="1:15" x14ac:dyDescent="0.3">
      <c r="A56" t="s">
        <v>224</v>
      </c>
      <c r="B56" t="s">
        <v>169</v>
      </c>
      <c r="C56" t="s">
        <v>170</v>
      </c>
      <c r="E56" t="str">
        <f t="shared" si="0"/>
        <v>구매가 0원</v>
      </c>
      <c r="G56" s="3"/>
      <c r="H56" t="s">
        <v>224</v>
      </c>
      <c r="I56" t="s">
        <v>63</v>
      </c>
      <c r="J56" t="s">
        <v>49</v>
      </c>
      <c r="K56" t="s">
        <v>65</v>
      </c>
      <c r="M56" s="2">
        <f t="shared" si="1"/>
        <v>0</v>
      </c>
      <c r="O56" s="6" t="str">
        <f t="shared" si="2"/>
        <v>0원</v>
      </c>
    </row>
    <row r="57" spans="1:15" x14ac:dyDescent="0.3">
      <c r="A57" t="s">
        <v>225</v>
      </c>
      <c r="B57" t="s">
        <v>169</v>
      </c>
      <c r="C57" t="s">
        <v>170</v>
      </c>
      <c r="E57" t="str">
        <f t="shared" si="0"/>
        <v>구매가 0원</v>
      </c>
      <c r="G57" s="3"/>
      <c r="H57" t="s">
        <v>225</v>
      </c>
      <c r="I57" t="s">
        <v>63</v>
      </c>
      <c r="J57" t="s">
        <v>49</v>
      </c>
      <c r="K57" t="s">
        <v>65</v>
      </c>
      <c r="M57" s="2">
        <f t="shared" si="1"/>
        <v>0</v>
      </c>
      <c r="O57" s="6" t="str">
        <f t="shared" si="2"/>
        <v>0원</v>
      </c>
    </row>
    <row r="58" spans="1:15" x14ac:dyDescent="0.3">
      <c r="A58" t="s">
        <v>226</v>
      </c>
      <c r="B58" t="s">
        <v>169</v>
      </c>
      <c r="C58" t="s">
        <v>170</v>
      </c>
      <c r="E58" t="str">
        <f t="shared" si="0"/>
        <v>구매가 0원</v>
      </c>
      <c r="G58" s="3"/>
      <c r="H58" t="s">
        <v>226</v>
      </c>
      <c r="I58" t="s">
        <v>63</v>
      </c>
      <c r="J58" t="s">
        <v>49</v>
      </c>
      <c r="K58" t="s">
        <v>65</v>
      </c>
      <c r="M58" s="2">
        <f t="shared" si="1"/>
        <v>0</v>
      </c>
      <c r="O58" s="6" t="str">
        <f t="shared" si="2"/>
        <v>0원</v>
      </c>
    </row>
    <row r="59" spans="1:15" x14ac:dyDescent="0.3">
      <c r="A59" t="s">
        <v>227</v>
      </c>
      <c r="B59" t="s">
        <v>169</v>
      </c>
      <c r="C59" t="s">
        <v>170</v>
      </c>
      <c r="E59" t="str">
        <f t="shared" si="0"/>
        <v>구매가 0원</v>
      </c>
      <c r="G59" s="3"/>
      <c r="H59" t="s">
        <v>227</v>
      </c>
      <c r="I59" t="s">
        <v>63</v>
      </c>
      <c r="J59" t="s">
        <v>49</v>
      </c>
      <c r="K59" t="s">
        <v>65</v>
      </c>
      <c r="M59" s="2">
        <f t="shared" si="1"/>
        <v>0</v>
      </c>
      <c r="O59" s="6" t="str">
        <f t="shared" si="2"/>
        <v>0원</v>
      </c>
    </row>
    <row r="60" spans="1:15" x14ac:dyDescent="0.3">
      <c r="A60" t="s">
        <v>228</v>
      </c>
      <c r="B60" t="s">
        <v>169</v>
      </c>
      <c r="C60" t="s">
        <v>170</v>
      </c>
      <c r="E60" t="str">
        <f t="shared" si="0"/>
        <v>구매가 0원</v>
      </c>
      <c r="G60" s="3"/>
      <c r="H60" t="s">
        <v>228</v>
      </c>
      <c r="I60" t="s">
        <v>63</v>
      </c>
      <c r="J60" t="s">
        <v>49</v>
      </c>
      <c r="K60" t="s">
        <v>65</v>
      </c>
      <c r="M60" s="2">
        <f t="shared" si="1"/>
        <v>0</v>
      </c>
      <c r="O60" s="6" t="str">
        <f t="shared" si="2"/>
        <v>0원</v>
      </c>
    </row>
    <row r="61" spans="1:15" x14ac:dyDescent="0.3">
      <c r="A61" t="s">
        <v>229</v>
      </c>
      <c r="B61" t="s">
        <v>169</v>
      </c>
      <c r="C61" t="s">
        <v>170</v>
      </c>
      <c r="E61" t="str">
        <f t="shared" si="0"/>
        <v>구매가 0원</v>
      </c>
      <c r="G61" s="3"/>
      <c r="H61" t="s">
        <v>229</v>
      </c>
      <c r="I61" t="s">
        <v>63</v>
      </c>
      <c r="J61" t="s">
        <v>49</v>
      </c>
      <c r="K61" t="s">
        <v>65</v>
      </c>
      <c r="M61" s="2">
        <f t="shared" si="1"/>
        <v>0</v>
      </c>
      <c r="O61" s="6" t="str">
        <f t="shared" si="2"/>
        <v>0원</v>
      </c>
    </row>
    <row r="62" spans="1:15" x14ac:dyDescent="0.3">
      <c r="A62" t="s">
        <v>230</v>
      </c>
      <c r="B62" t="s">
        <v>169</v>
      </c>
      <c r="C62" t="s">
        <v>170</v>
      </c>
      <c r="E62" t="str">
        <f t="shared" si="0"/>
        <v>구매가 0원</v>
      </c>
      <c r="G62" s="3"/>
      <c r="H62" t="s">
        <v>230</v>
      </c>
      <c r="I62" t="s">
        <v>63</v>
      </c>
      <c r="J62" t="s">
        <v>49</v>
      </c>
      <c r="K62" t="s">
        <v>65</v>
      </c>
      <c r="M62" s="2">
        <f t="shared" si="1"/>
        <v>0</v>
      </c>
      <c r="O62" s="6" t="str">
        <f t="shared" si="2"/>
        <v>0원</v>
      </c>
    </row>
    <row r="63" spans="1:15" x14ac:dyDescent="0.3">
      <c r="A63" t="s">
        <v>231</v>
      </c>
      <c r="B63" t="s">
        <v>169</v>
      </c>
      <c r="C63" t="s">
        <v>170</v>
      </c>
      <c r="E63" t="str">
        <f t="shared" si="0"/>
        <v>구매가 0원</v>
      </c>
      <c r="G63" s="3"/>
      <c r="H63" t="s">
        <v>231</v>
      </c>
      <c r="I63" t="s">
        <v>63</v>
      </c>
      <c r="J63" t="s">
        <v>49</v>
      </c>
      <c r="K63" t="s">
        <v>65</v>
      </c>
      <c r="M63" s="2">
        <f t="shared" si="1"/>
        <v>0</v>
      </c>
      <c r="O63" s="6" t="str">
        <f t="shared" si="2"/>
        <v>0원</v>
      </c>
    </row>
    <row r="64" spans="1:15" x14ac:dyDescent="0.3">
      <c r="A64" t="s">
        <v>232</v>
      </c>
      <c r="B64" t="s">
        <v>169</v>
      </c>
      <c r="C64" t="s">
        <v>170</v>
      </c>
      <c r="E64" t="str">
        <f t="shared" si="0"/>
        <v>구매가 0원</v>
      </c>
      <c r="G64" s="3"/>
      <c r="H64" t="s">
        <v>232</v>
      </c>
      <c r="I64" t="s">
        <v>63</v>
      </c>
      <c r="J64" t="s">
        <v>49</v>
      </c>
      <c r="K64" t="s">
        <v>65</v>
      </c>
      <c r="M64" s="2">
        <f t="shared" si="1"/>
        <v>0</v>
      </c>
      <c r="O64" s="6" t="str">
        <f t="shared" si="2"/>
        <v>0원</v>
      </c>
    </row>
    <row r="65" spans="1:15" x14ac:dyDescent="0.3">
      <c r="A65" t="s">
        <v>233</v>
      </c>
      <c r="B65" t="s">
        <v>169</v>
      </c>
      <c r="C65" t="s">
        <v>170</v>
      </c>
      <c r="E65" t="str">
        <f t="shared" si="0"/>
        <v>구매가 0원</v>
      </c>
      <c r="G65" s="3"/>
      <c r="H65" t="s">
        <v>233</v>
      </c>
      <c r="I65" t="s">
        <v>63</v>
      </c>
      <c r="J65" t="s">
        <v>49</v>
      </c>
      <c r="K65" t="s">
        <v>65</v>
      </c>
      <c r="M65" s="2">
        <f t="shared" si="1"/>
        <v>0</v>
      </c>
      <c r="O65" s="6" t="str">
        <f t="shared" si="2"/>
        <v>0원</v>
      </c>
    </row>
    <row r="66" spans="1:15" x14ac:dyDescent="0.3">
      <c r="A66" t="s">
        <v>234</v>
      </c>
      <c r="B66" t="s">
        <v>169</v>
      </c>
      <c r="C66" t="s">
        <v>170</v>
      </c>
      <c r="E66" t="str">
        <f t="shared" si="0"/>
        <v>구매가 0원</v>
      </c>
      <c r="G66" s="3"/>
      <c r="H66" t="s">
        <v>234</v>
      </c>
      <c r="I66" t="s">
        <v>63</v>
      </c>
      <c r="J66" t="s">
        <v>49</v>
      </c>
      <c r="K66" t="s">
        <v>65</v>
      </c>
      <c r="M66" s="2">
        <f t="shared" si="1"/>
        <v>0</v>
      </c>
      <c r="O66" s="6" t="str">
        <f t="shared" si="2"/>
        <v>0원</v>
      </c>
    </row>
    <row r="67" spans="1:15" x14ac:dyDescent="0.3">
      <c r="A67" t="s">
        <v>235</v>
      </c>
      <c r="B67" t="s">
        <v>169</v>
      </c>
      <c r="C67" t="s">
        <v>170</v>
      </c>
      <c r="E67" t="str">
        <f t="shared" ref="E67:E101" si="3">"구매가 "&amp;TEXT(M67,"#,##0")&amp;"원"</f>
        <v>구매가 0원</v>
      </c>
      <c r="G67" s="3"/>
      <c r="H67" t="s">
        <v>235</v>
      </c>
      <c r="I67" t="s">
        <v>63</v>
      </c>
      <c r="J67" t="s">
        <v>49</v>
      </c>
      <c r="K67" t="s">
        <v>65</v>
      </c>
      <c r="M67" s="2">
        <f t="shared" ref="M67:M101" si="4">L67*200*9</f>
        <v>0</v>
      </c>
      <c r="O67" s="6" t="str">
        <f t="shared" ref="O67:O101" si="5">P67*200&amp;"원"</f>
        <v>0원</v>
      </c>
    </row>
    <row r="68" spans="1:15" x14ac:dyDescent="0.3">
      <c r="A68" t="s">
        <v>236</v>
      </c>
      <c r="B68" t="s">
        <v>169</v>
      </c>
      <c r="C68" t="s">
        <v>170</v>
      </c>
      <c r="E68" t="str">
        <f t="shared" si="3"/>
        <v>구매가 0원</v>
      </c>
      <c r="G68" s="3"/>
      <c r="H68" t="s">
        <v>236</v>
      </c>
      <c r="I68" t="s">
        <v>63</v>
      </c>
      <c r="J68" t="s">
        <v>49</v>
      </c>
      <c r="K68" t="s">
        <v>65</v>
      </c>
      <c r="M68" s="2">
        <f t="shared" si="4"/>
        <v>0</v>
      </c>
      <c r="O68" s="6" t="str">
        <f t="shared" si="5"/>
        <v>0원</v>
      </c>
    </row>
    <row r="69" spans="1:15" x14ac:dyDescent="0.3">
      <c r="A69" t="s">
        <v>237</v>
      </c>
      <c r="B69" t="s">
        <v>169</v>
      </c>
      <c r="C69" t="s">
        <v>170</v>
      </c>
      <c r="E69" t="str">
        <f t="shared" si="3"/>
        <v>구매가 0원</v>
      </c>
      <c r="G69" s="3"/>
      <c r="H69" t="s">
        <v>237</v>
      </c>
      <c r="I69" t="s">
        <v>63</v>
      </c>
      <c r="J69" t="s">
        <v>49</v>
      </c>
      <c r="K69" t="s">
        <v>65</v>
      </c>
      <c r="M69" s="2">
        <f t="shared" si="4"/>
        <v>0</v>
      </c>
      <c r="O69" s="6" t="str">
        <f t="shared" si="5"/>
        <v>0원</v>
      </c>
    </row>
    <row r="70" spans="1:15" x14ac:dyDescent="0.3">
      <c r="A70" t="s">
        <v>238</v>
      </c>
      <c r="B70" t="s">
        <v>169</v>
      </c>
      <c r="C70" t="s">
        <v>170</v>
      </c>
      <c r="E70" t="str">
        <f t="shared" si="3"/>
        <v>구매가 0원</v>
      </c>
      <c r="G70" s="3"/>
      <c r="H70" t="s">
        <v>238</v>
      </c>
      <c r="I70" t="s">
        <v>63</v>
      </c>
      <c r="J70" t="s">
        <v>49</v>
      </c>
      <c r="K70" t="s">
        <v>65</v>
      </c>
      <c r="M70" s="2">
        <f t="shared" si="4"/>
        <v>0</v>
      </c>
      <c r="O70" s="6" t="str">
        <f t="shared" si="5"/>
        <v>0원</v>
      </c>
    </row>
    <row r="71" spans="1:15" x14ac:dyDescent="0.3">
      <c r="A71" t="s">
        <v>239</v>
      </c>
      <c r="B71" t="s">
        <v>169</v>
      </c>
      <c r="C71" t="s">
        <v>170</v>
      </c>
      <c r="E71" t="str">
        <f t="shared" si="3"/>
        <v>구매가 0원</v>
      </c>
      <c r="G71" s="3"/>
      <c r="H71" t="s">
        <v>239</v>
      </c>
      <c r="I71" t="s">
        <v>63</v>
      </c>
      <c r="J71" t="s">
        <v>49</v>
      </c>
      <c r="K71" t="s">
        <v>65</v>
      </c>
      <c r="M71" s="2">
        <f t="shared" si="4"/>
        <v>0</v>
      </c>
      <c r="O71" s="6" t="str">
        <f t="shared" si="5"/>
        <v>0원</v>
      </c>
    </row>
    <row r="72" spans="1:15" x14ac:dyDescent="0.3">
      <c r="A72" t="s">
        <v>240</v>
      </c>
      <c r="B72" t="s">
        <v>169</v>
      </c>
      <c r="C72" t="s">
        <v>170</v>
      </c>
      <c r="E72" t="str">
        <f t="shared" si="3"/>
        <v>구매가 0원</v>
      </c>
      <c r="G72" s="3"/>
      <c r="H72" t="s">
        <v>240</v>
      </c>
      <c r="I72" t="s">
        <v>63</v>
      </c>
      <c r="J72" t="s">
        <v>49</v>
      </c>
      <c r="K72" t="s">
        <v>65</v>
      </c>
      <c r="M72" s="2">
        <f t="shared" si="4"/>
        <v>0</v>
      </c>
      <c r="O72" s="6" t="str">
        <f t="shared" si="5"/>
        <v>0원</v>
      </c>
    </row>
    <row r="73" spans="1:15" x14ac:dyDescent="0.3">
      <c r="A73" t="s">
        <v>241</v>
      </c>
      <c r="B73" t="s">
        <v>169</v>
      </c>
      <c r="C73" t="s">
        <v>170</v>
      </c>
      <c r="E73" t="str">
        <f t="shared" si="3"/>
        <v>구매가 0원</v>
      </c>
      <c r="G73" s="3"/>
      <c r="H73" t="s">
        <v>241</v>
      </c>
      <c r="I73" t="s">
        <v>63</v>
      </c>
      <c r="J73" t="s">
        <v>49</v>
      </c>
      <c r="K73" t="s">
        <v>65</v>
      </c>
      <c r="M73" s="2">
        <f t="shared" si="4"/>
        <v>0</v>
      </c>
      <c r="O73" s="6" t="str">
        <f t="shared" si="5"/>
        <v>0원</v>
      </c>
    </row>
    <row r="74" spans="1:15" x14ac:dyDescent="0.3">
      <c r="A74" t="s">
        <v>242</v>
      </c>
      <c r="B74" t="s">
        <v>169</v>
      </c>
      <c r="C74" t="s">
        <v>170</v>
      </c>
      <c r="E74" t="str">
        <f t="shared" si="3"/>
        <v>구매가 0원</v>
      </c>
      <c r="G74" s="3"/>
      <c r="H74" t="s">
        <v>242</v>
      </c>
      <c r="I74" t="s">
        <v>63</v>
      </c>
      <c r="J74" t="s">
        <v>49</v>
      </c>
      <c r="K74" t="s">
        <v>65</v>
      </c>
      <c r="M74" s="2">
        <f t="shared" si="4"/>
        <v>0</v>
      </c>
      <c r="O74" s="6" t="str">
        <f t="shared" si="5"/>
        <v>0원</v>
      </c>
    </row>
    <row r="75" spans="1:15" x14ac:dyDescent="0.3">
      <c r="A75" t="s">
        <v>243</v>
      </c>
      <c r="B75" t="s">
        <v>169</v>
      </c>
      <c r="C75" t="s">
        <v>170</v>
      </c>
      <c r="E75" t="str">
        <f t="shared" si="3"/>
        <v>구매가 0원</v>
      </c>
      <c r="G75" s="3"/>
      <c r="H75" t="s">
        <v>243</v>
      </c>
      <c r="I75" t="s">
        <v>63</v>
      </c>
      <c r="J75" t="s">
        <v>49</v>
      </c>
      <c r="K75" t="s">
        <v>65</v>
      </c>
      <c r="M75" s="2">
        <f t="shared" si="4"/>
        <v>0</v>
      </c>
      <c r="O75" s="6" t="str">
        <f t="shared" si="5"/>
        <v>0원</v>
      </c>
    </row>
    <row r="76" spans="1:15" x14ac:dyDescent="0.3">
      <c r="A76" t="s">
        <v>244</v>
      </c>
      <c r="B76" t="s">
        <v>169</v>
      </c>
      <c r="C76" t="s">
        <v>170</v>
      </c>
      <c r="E76" t="str">
        <f t="shared" si="3"/>
        <v>구매가 0원</v>
      </c>
      <c r="G76" s="3"/>
      <c r="H76" t="s">
        <v>244</v>
      </c>
      <c r="I76" t="s">
        <v>63</v>
      </c>
      <c r="J76" t="s">
        <v>49</v>
      </c>
      <c r="K76" t="s">
        <v>65</v>
      </c>
      <c r="M76" s="2">
        <f t="shared" si="4"/>
        <v>0</v>
      </c>
      <c r="O76" s="6" t="str">
        <f t="shared" si="5"/>
        <v>0원</v>
      </c>
    </row>
    <row r="77" spans="1:15" x14ac:dyDescent="0.3">
      <c r="A77" t="s">
        <v>245</v>
      </c>
      <c r="B77" t="s">
        <v>169</v>
      </c>
      <c r="C77" t="s">
        <v>170</v>
      </c>
      <c r="E77" t="str">
        <f t="shared" si="3"/>
        <v>구매가 0원</v>
      </c>
      <c r="G77" s="3"/>
      <c r="H77" t="s">
        <v>245</v>
      </c>
      <c r="I77" t="s">
        <v>63</v>
      </c>
      <c r="J77" t="s">
        <v>49</v>
      </c>
      <c r="K77" t="s">
        <v>65</v>
      </c>
      <c r="M77" s="2">
        <f t="shared" si="4"/>
        <v>0</v>
      </c>
      <c r="O77" s="6" t="str">
        <f t="shared" si="5"/>
        <v>0원</v>
      </c>
    </row>
    <row r="78" spans="1:15" x14ac:dyDescent="0.3">
      <c r="A78" t="s">
        <v>246</v>
      </c>
      <c r="B78" t="s">
        <v>169</v>
      </c>
      <c r="C78" t="s">
        <v>170</v>
      </c>
      <c r="E78" t="str">
        <f t="shared" si="3"/>
        <v>구매가 0원</v>
      </c>
      <c r="G78" s="3"/>
      <c r="H78" t="s">
        <v>246</v>
      </c>
      <c r="I78" t="s">
        <v>63</v>
      </c>
      <c r="J78" t="s">
        <v>49</v>
      </c>
      <c r="K78" t="s">
        <v>65</v>
      </c>
      <c r="M78" s="2">
        <f t="shared" si="4"/>
        <v>0</v>
      </c>
      <c r="O78" s="6" t="str">
        <f t="shared" si="5"/>
        <v>0원</v>
      </c>
    </row>
    <row r="79" spans="1:15" x14ac:dyDescent="0.3">
      <c r="A79" t="s">
        <v>247</v>
      </c>
      <c r="B79" t="s">
        <v>169</v>
      </c>
      <c r="C79" t="s">
        <v>170</v>
      </c>
      <c r="E79" t="str">
        <f t="shared" si="3"/>
        <v>구매가 0원</v>
      </c>
      <c r="G79" s="3"/>
      <c r="H79" t="s">
        <v>247</v>
      </c>
      <c r="I79" t="s">
        <v>63</v>
      </c>
      <c r="J79" t="s">
        <v>49</v>
      </c>
      <c r="K79" t="s">
        <v>65</v>
      </c>
      <c r="M79" s="2">
        <f t="shared" si="4"/>
        <v>0</v>
      </c>
      <c r="O79" s="6" t="str">
        <f t="shared" si="5"/>
        <v>0원</v>
      </c>
    </row>
    <row r="80" spans="1:15" x14ac:dyDescent="0.3">
      <c r="A80" t="s">
        <v>248</v>
      </c>
      <c r="B80" t="s">
        <v>169</v>
      </c>
      <c r="C80" t="s">
        <v>170</v>
      </c>
      <c r="E80" t="str">
        <f t="shared" si="3"/>
        <v>구매가 0원</v>
      </c>
      <c r="G80" s="3"/>
      <c r="H80" t="s">
        <v>248</v>
      </c>
      <c r="I80" t="s">
        <v>63</v>
      </c>
      <c r="J80" t="s">
        <v>49</v>
      </c>
      <c r="K80" t="s">
        <v>65</v>
      </c>
      <c r="M80" s="2">
        <f t="shared" si="4"/>
        <v>0</v>
      </c>
      <c r="O80" s="6" t="str">
        <f t="shared" si="5"/>
        <v>0원</v>
      </c>
    </row>
    <row r="81" spans="1:15" x14ac:dyDescent="0.3">
      <c r="A81" t="s">
        <v>249</v>
      </c>
      <c r="B81" t="s">
        <v>169</v>
      </c>
      <c r="C81" t="s">
        <v>170</v>
      </c>
      <c r="E81" t="str">
        <f t="shared" si="3"/>
        <v>구매가 0원</v>
      </c>
      <c r="G81" s="3"/>
      <c r="H81" t="s">
        <v>249</v>
      </c>
      <c r="I81" t="s">
        <v>63</v>
      </c>
      <c r="J81" t="s">
        <v>49</v>
      </c>
      <c r="K81" t="s">
        <v>65</v>
      </c>
      <c r="M81" s="2">
        <f t="shared" si="4"/>
        <v>0</v>
      </c>
      <c r="O81" s="6" t="str">
        <f t="shared" si="5"/>
        <v>0원</v>
      </c>
    </row>
    <row r="82" spans="1:15" x14ac:dyDescent="0.3">
      <c r="A82" t="s">
        <v>250</v>
      </c>
      <c r="B82" t="s">
        <v>169</v>
      </c>
      <c r="C82" t="s">
        <v>170</v>
      </c>
      <c r="E82" t="str">
        <f t="shared" si="3"/>
        <v>구매가 0원</v>
      </c>
      <c r="G82" s="3"/>
      <c r="H82" t="s">
        <v>250</v>
      </c>
      <c r="I82" t="s">
        <v>63</v>
      </c>
      <c r="J82" t="s">
        <v>49</v>
      </c>
      <c r="K82" t="s">
        <v>65</v>
      </c>
      <c r="M82" s="2">
        <f t="shared" si="4"/>
        <v>0</v>
      </c>
      <c r="O82" s="6" t="str">
        <f t="shared" si="5"/>
        <v>0원</v>
      </c>
    </row>
    <row r="83" spans="1:15" x14ac:dyDescent="0.3">
      <c r="A83" t="s">
        <v>251</v>
      </c>
      <c r="B83" t="s">
        <v>169</v>
      </c>
      <c r="C83" t="s">
        <v>170</v>
      </c>
      <c r="E83" t="str">
        <f t="shared" si="3"/>
        <v>구매가 0원</v>
      </c>
      <c r="G83" s="3"/>
      <c r="H83" t="s">
        <v>251</v>
      </c>
      <c r="I83" t="s">
        <v>63</v>
      </c>
      <c r="J83" t="s">
        <v>49</v>
      </c>
      <c r="K83" t="s">
        <v>65</v>
      </c>
      <c r="M83" s="2">
        <f t="shared" si="4"/>
        <v>0</v>
      </c>
      <c r="O83" s="6" t="str">
        <f t="shared" si="5"/>
        <v>0원</v>
      </c>
    </row>
    <row r="84" spans="1:15" x14ac:dyDescent="0.3">
      <c r="A84" t="s">
        <v>252</v>
      </c>
      <c r="B84" t="s">
        <v>169</v>
      </c>
      <c r="C84" t="s">
        <v>170</v>
      </c>
      <c r="E84" t="str">
        <f t="shared" si="3"/>
        <v>구매가 0원</v>
      </c>
      <c r="G84" s="3"/>
      <c r="H84" t="s">
        <v>252</v>
      </c>
      <c r="I84" t="s">
        <v>63</v>
      </c>
      <c r="J84" t="s">
        <v>49</v>
      </c>
      <c r="K84" t="s">
        <v>65</v>
      </c>
      <c r="M84" s="2">
        <f t="shared" si="4"/>
        <v>0</v>
      </c>
      <c r="O84" s="6" t="str">
        <f t="shared" si="5"/>
        <v>0원</v>
      </c>
    </row>
    <row r="85" spans="1:15" x14ac:dyDescent="0.3">
      <c r="A85" t="s">
        <v>253</v>
      </c>
      <c r="B85" t="s">
        <v>169</v>
      </c>
      <c r="C85" t="s">
        <v>170</v>
      </c>
      <c r="E85" t="str">
        <f t="shared" si="3"/>
        <v>구매가 0원</v>
      </c>
      <c r="G85" s="3"/>
      <c r="H85" t="s">
        <v>253</v>
      </c>
      <c r="I85" t="s">
        <v>63</v>
      </c>
      <c r="J85" t="s">
        <v>49</v>
      </c>
      <c r="K85" t="s">
        <v>65</v>
      </c>
      <c r="M85" s="2">
        <f t="shared" si="4"/>
        <v>0</v>
      </c>
      <c r="O85" s="6" t="str">
        <f t="shared" si="5"/>
        <v>0원</v>
      </c>
    </row>
    <row r="86" spans="1:15" x14ac:dyDescent="0.3">
      <c r="A86" t="s">
        <v>254</v>
      </c>
      <c r="B86" t="s">
        <v>169</v>
      </c>
      <c r="C86" t="s">
        <v>170</v>
      </c>
      <c r="E86" t="str">
        <f t="shared" si="3"/>
        <v>구매가 0원</v>
      </c>
      <c r="G86" s="3"/>
      <c r="H86" t="s">
        <v>254</v>
      </c>
      <c r="I86" t="s">
        <v>63</v>
      </c>
      <c r="J86" t="s">
        <v>49</v>
      </c>
      <c r="K86" t="s">
        <v>65</v>
      </c>
      <c r="M86" s="2">
        <f t="shared" si="4"/>
        <v>0</v>
      </c>
      <c r="O86" s="6" t="str">
        <f t="shared" si="5"/>
        <v>0원</v>
      </c>
    </row>
    <row r="87" spans="1:15" x14ac:dyDescent="0.3">
      <c r="A87" t="s">
        <v>255</v>
      </c>
      <c r="B87" t="s">
        <v>169</v>
      </c>
      <c r="C87" t="s">
        <v>170</v>
      </c>
      <c r="E87" t="str">
        <f t="shared" si="3"/>
        <v>구매가 0원</v>
      </c>
      <c r="G87" s="3"/>
      <c r="H87" t="s">
        <v>255</v>
      </c>
      <c r="I87" t="s">
        <v>63</v>
      </c>
      <c r="J87" t="s">
        <v>49</v>
      </c>
      <c r="K87" t="s">
        <v>65</v>
      </c>
      <c r="M87" s="2">
        <f t="shared" si="4"/>
        <v>0</v>
      </c>
      <c r="O87" s="6" t="str">
        <f t="shared" si="5"/>
        <v>0원</v>
      </c>
    </row>
    <row r="88" spans="1:15" x14ac:dyDescent="0.3">
      <c r="A88" t="s">
        <v>256</v>
      </c>
      <c r="B88" t="s">
        <v>169</v>
      </c>
      <c r="C88" t="s">
        <v>170</v>
      </c>
      <c r="E88" t="str">
        <f t="shared" si="3"/>
        <v>구매가 0원</v>
      </c>
      <c r="G88" s="3"/>
      <c r="H88" t="s">
        <v>256</v>
      </c>
      <c r="I88" t="s">
        <v>63</v>
      </c>
      <c r="J88" t="s">
        <v>49</v>
      </c>
      <c r="K88" t="s">
        <v>65</v>
      </c>
      <c r="M88" s="2">
        <f t="shared" si="4"/>
        <v>0</v>
      </c>
      <c r="O88" s="6" t="str">
        <f t="shared" si="5"/>
        <v>0원</v>
      </c>
    </row>
    <row r="89" spans="1:15" x14ac:dyDescent="0.3">
      <c r="A89" t="s">
        <v>257</v>
      </c>
      <c r="B89" t="s">
        <v>169</v>
      </c>
      <c r="C89" t="s">
        <v>170</v>
      </c>
      <c r="E89" t="str">
        <f t="shared" si="3"/>
        <v>구매가 0원</v>
      </c>
      <c r="G89" s="3"/>
      <c r="H89" t="s">
        <v>257</v>
      </c>
      <c r="I89" t="s">
        <v>63</v>
      </c>
      <c r="J89" t="s">
        <v>49</v>
      </c>
      <c r="K89" t="s">
        <v>65</v>
      </c>
      <c r="M89" s="2">
        <f t="shared" si="4"/>
        <v>0</v>
      </c>
      <c r="O89" s="6" t="str">
        <f t="shared" si="5"/>
        <v>0원</v>
      </c>
    </row>
    <row r="90" spans="1:15" x14ac:dyDescent="0.3">
      <c r="A90" t="s">
        <v>258</v>
      </c>
      <c r="B90" t="s">
        <v>169</v>
      </c>
      <c r="C90" t="s">
        <v>170</v>
      </c>
      <c r="E90" t="str">
        <f t="shared" si="3"/>
        <v>구매가 0원</v>
      </c>
      <c r="G90" s="3"/>
      <c r="H90" t="s">
        <v>258</v>
      </c>
      <c r="I90" t="s">
        <v>63</v>
      </c>
      <c r="J90" t="s">
        <v>49</v>
      </c>
      <c r="K90" t="s">
        <v>65</v>
      </c>
      <c r="M90" s="2">
        <f t="shared" si="4"/>
        <v>0</v>
      </c>
      <c r="O90" s="6" t="str">
        <f t="shared" si="5"/>
        <v>0원</v>
      </c>
    </row>
    <row r="91" spans="1:15" x14ac:dyDescent="0.3">
      <c r="A91" t="s">
        <v>259</v>
      </c>
      <c r="B91" t="s">
        <v>169</v>
      </c>
      <c r="C91" t="s">
        <v>170</v>
      </c>
      <c r="E91" t="str">
        <f t="shared" si="3"/>
        <v>구매가 0원</v>
      </c>
      <c r="G91" s="3"/>
      <c r="H91" t="s">
        <v>259</v>
      </c>
      <c r="I91" t="s">
        <v>63</v>
      </c>
      <c r="J91" t="s">
        <v>49</v>
      </c>
      <c r="K91" t="s">
        <v>65</v>
      </c>
      <c r="M91" s="2">
        <f t="shared" si="4"/>
        <v>0</v>
      </c>
      <c r="O91" s="6" t="str">
        <f t="shared" si="5"/>
        <v>0원</v>
      </c>
    </row>
    <row r="92" spans="1:15" x14ac:dyDescent="0.3">
      <c r="A92" t="s">
        <v>260</v>
      </c>
      <c r="B92" t="s">
        <v>169</v>
      </c>
      <c r="C92" t="s">
        <v>170</v>
      </c>
      <c r="E92" t="str">
        <f t="shared" si="3"/>
        <v>구매가 0원</v>
      </c>
      <c r="G92" s="3"/>
      <c r="H92" t="s">
        <v>260</v>
      </c>
      <c r="I92" t="s">
        <v>63</v>
      </c>
      <c r="J92" t="s">
        <v>49</v>
      </c>
      <c r="K92" t="s">
        <v>65</v>
      </c>
      <c r="M92" s="2">
        <f t="shared" si="4"/>
        <v>0</v>
      </c>
      <c r="O92" s="6" t="str">
        <f t="shared" si="5"/>
        <v>0원</v>
      </c>
    </row>
    <row r="93" spans="1:15" x14ac:dyDescent="0.3">
      <c r="A93" t="s">
        <v>261</v>
      </c>
      <c r="B93" t="s">
        <v>169</v>
      </c>
      <c r="C93" t="s">
        <v>170</v>
      </c>
      <c r="E93" t="str">
        <f t="shared" si="3"/>
        <v>구매가 0원</v>
      </c>
      <c r="G93" s="3"/>
      <c r="H93" t="s">
        <v>261</v>
      </c>
      <c r="I93" t="s">
        <v>63</v>
      </c>
      <c r="J93" t="s">
        <v>49</v>
      </c>
      <c r="K93" t="s">
        <v>65</v>
      </c>
      <c r="M93" s="2">
        <f t="shared" si="4"/>
        <v>0</v>
      </c>
      <c r="O93" s="6" t="str">
        <f t="shared" si="5"/>
        <v>0원</v>
      </c>
    </row>
    <row r="94" spans="1:15" x14ac:dyDescent="0.3">
      <c r="A94" t="s">
        <v>262</v>
      </c>
      <c r="B94" t="s">
        <v>169</v>
      </c>
      <c r="C94" t="s">
        <v>170</v>
      </c>
      <c r="E94" t="str">
        <f t="shared" si="3"/>
        <v>구매가 0원</v>
      </c>
      <c r="G94" s="3"/>
      <c r="H94" t="s">
        <v>262</v>
      </c>
      <c r="I94" t="s">
        <v>63</v>
      </c>
      <c r="J94" t="s">
        <v>49</v>
      </c>
      <c r="K94" t="s">
        <v>65</v>
      </c>
      <c r="M94" s="2">
        <f t="shared" si="4"/>
        <v>0</v>
      </c>
      <c r="O94" s="6" t="str">
        <f t="shared" si="5"/>
        <v>0원</v>
      </c>
    </row>
    <row r="95" spans="1:15" x14ac:dyDescent="0.3">
      <c r="A95" t="s">
        <v>263</v>
      </c>
      <c r="B95" t="s">
        <v>169</v>
      </c>
      <c r="C95" t="s">
        <v>170</v>
      </c>
      <c r="E95" t="str">
        <f t="shared" si="3"/>
        <v>구매가 0원</v>
      </c>
      <c r="G95" s="3"/>
      <c r="H95" t="s">
        <v>263</v>
      </c>
      <c r="I95" t="s">
        <v>63</v>
      </c>
      <c r="J95" t="s">
        <v>49</v>
      </c>
      <c r="K95" t="s">
        <v>65</v>
      </c>
      <c r="M95" s="2">
        <f t="shared" si="4"/>
        <v>0</v>
      </c>
      <c r="O95" s="6" t="str">
        <f t="shared" si="5"/>
        <v>0원</v>
      </c>
    </row>
    <row r="96" spans="1:15" x14ac:dyDescent="0.3">
      <c r="A96" t="s">
        <v>264</v>
      </c>
      <c r="B96" t="s">
        <v>169</v>
      </c>
      <c r="C96" t="s">
        <v>170</v>
      </c>
      <c r="E96" t="str">
        <f t="shared" si="3"/>
        <v>구매가 0원</v>
      </c>
      <c r="G96" s="3"/>
      <c r="H96" t="s">
        <v>264</v>
      </c>
      <c r="I96" t="s">
        <v>63</v>
      </c>
      <c r="J96" t="s">
        <v>49</v>
      </c>
      <c r="K96" t="s">
        <v>65</v>
      </c>
      <c r="M96" s="2">
        <f t="shared" si="4"/>
        <v>0</v>
      </c>
      <c r="O96" s="6" t="str">
        <f t="shared" si="5"/>
        <v>0원</v>
      </c>
    </row>
    <row r="97" spans="1:15" x14ac:dyDescent="0.3">
      <c r="A97" t="s">
        <v>265</v>
      </c>
      <c r="B97" t="s">
        <v>169</v>
      </c>
      <c r="C97" t="s">
        <v>170</v>
      </c>
      <c r="E97" t="str">
        <f t="shared" si="3"/>
        <v>구매가 0원</v>
      </c>
      <c r="G97" s="3"/>
      <c r="H97" t="s">
        <v>265</v>
      </c>
      <c r="I97" t="s">
        <v>63</v>
      </c>
      <c r="J97" t="s">
        <v>49</v>
      </c>
      <c r="K97" t="s">
        <v>65</v>
      </c>
      <c r="M97" s="2">
        <f t="shared" si="4"/>
        <v>0</v>
      </c>
      <c r="O97" s="6" t="str">
        <f t="shared" si="5"/>
        <v>0원</v>
      </c>
    </row>
    <row r="98" spans="1:15" x14ac:dyDescent="0.3">
      <c r="A98" t="s">
        <v>266</v>
      </c>
      <c r="B98" t="s">
        <v>169</v>
      </c>
      <c r="C98" t="s">
        <v>170</v>
      </c>
      <c r="E98" t="str">
        <f t="shared" si="3"/>
        <v>구매가 0원</v>
      </c>
      <c r="G98" s="3"/>
      <c r="H98" t="s">
        <v>266</v>
      </c>
      <c r="I98" t="s">
        <v>63</v>
      </c>
      <c r="J98" t="s">
        <v>49</v>
      </c>
      <c r="K98" t="s">
        <v>65</v>
      </c>
      <c r="M98" s="2">
        <f t="shared" si="4"/>
        <v>0</v>
      </c>
      <c r="O98" s="6" t="str">
        <f t="shared" si="5"/>
        <v>0원</v>
      </c>
    </row>
    <row r="99" spans="1:15" x14ac:dyDescent="0.3">
      <c r="A99" t="s">
        <v>267</v>
      </c>
      <c r="B99" t="s">
        <v>169</v>
      </c>
      <c r="C99" t="s">
        <v>170</v>
      </c>
      <c r="E99" t="str">
        <f t="shared" si="3"/>
        <v>구매가 0원</v>
      </c>
      <c r="G99" s="3"/>
      <c r="H99" t="s">
        <v>267</v>
      </c>
      <c r="I99" t="s">
        <v>63</v>
      </c>
      <c r="J99" t="s">
        <v>49</v>
      </c>
      <c r="K99" t="s">
        <v>65</v>
      </c>
      <c r="M99" s="2">
        <f t="shared" si="4"/>
        <v>0</v>
      </c>
      <c r="O99" s="6" t="str">
        <f t="shared" si="5"/>
        <v>0원</v>
      </c>
    </row>
    <row r="100" spans="1:15" x14ac:dyDescent="0.3">
      <c r="A100" t="s">
        <v>268</v>
      </c>
      <c r="B100" t="s">
        <v>169</v>
      </c>
      <c r="C100" t="s">
        <v>170</v>
      </c>
      <c r="E100" t="str">
        <f t="shared" si="3"/>
        <v>구매가 0원</v>
      </c>
      <c r="G100" s="3"/>
      <c r="H100" t="s">
        <v>268</v>
      </c>
      <c r="I100" t="s">
        <v>63</v>
      </c>
      <c r="J100" t="s">
        <v>49</v>
      </c>
      <c r="K100" t="s">
        <v>65</v>
      </c>
      <c r="M100" s="2">
        <f t="shared" si="4"/>
        <v>0</v>
      </c>
      <c r="O100" s="6" t="str">
        <f t="shared" si="5"/>
        <v>0원</v>
      </c>
    </row>
    <row r="101" spans="1:15" x14ac:dyDescent="0.3">
      <c r="A101" t="s">
        <v>269</v>
      </c>
      <c r="B101" t="s">
        <v>169</v>
      </c>
      <c r="C101" t="s">
        <v>170</v>
      </c>
      <c r="E101" t="str">
        <f t="shared" si="3"/>
        <v>구매가 0원</v>
      </c>
      <c r="G101" s="3"/>
      <c r="H101" t="s">
        <v>269</v>
      </c>
      <c r="I101" t="s">
        <v>63</v>
      </c>
      <c r="J101" t="s">
        <v>49</v>
      </c>
      <c r="K101" t="s">
        <v>65</v>
      </c>
      <c r="M101" s="2">
        <f t="shared" si="4"/>
        <v>0</v>
      </c>
      <c r="O101" s="6" t="str">
        <f t="shared" si="5"/>
        <v>0원</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DCD9-26E9-4E3A-AF75-1EBCC36BF5D1}">
  <dimension ref="A1:P101"/>
  <sheetViews>
    <sheetView workbookViewId="0">
      <selection activeCell="E6" sqref="E6"/>
    </sheetView>
  </sheetViews>
  <sheetFormatPr defaultRowHeight="16.5" x14ac:dyDescent="0.3"/>
  <cols>
    <col min="5" max="5" width="10.625" bestFit="1" customWidth="1"/>
  </cols>
  <sheetData>
    <row r="1" spans="1:16" ht="50.1" customHeight="1" x14ac:dyDescent="0.3">
      <c r="A1" t="s">
        <v>0</v>
      </c>
      <c r="B1" t="s">
        <v>1</v>
      </c>
      <c r="C1" t="s">
        <v>2</v>
      </c>
      <c r="D1" t="s">
        <v>3</v>
      </c>
      <c r="E1" t="s">
        <v>4</v>
      </c>
      <c r="F1" t="s">
        <v>5</v>
      </c>
      <c r="G1" t="s">
        <v>6</v>
      </c>
      <c r="H1" t="s">
        <v>7</v>
      </c>
      <c r="I1" t="s">
        <v>8</v>
      </c>
      <c r="J1" t="s">
        <v>9</v>
      </c>
      <c r="K1" t="s">
        <v>10</v>
      </c>
      <c r="L1" t="s">
        <v>11</v>
      </c>
      <c r="M1" t="s">
        <v>12</v>
      </c>
      <c r="N1" t="s">
        <v>13</v>
      </c>
      <c r="O1" s="6" t="s">
        <v>383</v>
      </c>
      <c r="P1" t="s">
        <v>384</v>
      </c>
    </row>
    <row r="2" spans="1:16" x14ac:dyDescent="0.3">
      <c r="A2" t="s">
        <v>66</v>
      </c>
      <c r="B2" t="s">
        <v>67</v>
      </c>
      <c r="C2" t="s">
        <v>68</v>
      </c>
      <c r="E2" t="str">
        <f t="shared" ref="E2:E33" si="0">"구매가 "&amp;TEXT(M2,"#,##0")&amp;"원"</f>
        <v>구매가 0원</v>
      </c>
      <c r="G2" s="3"/>
      <c r="H2" t="s">
        <v>66</v>
      </c>
      <c r="I2" t="s">
        <v>63</v>
      </c>
      <c r="J2" t="s">
        <v>49</v>
      </c>
      <c r="K2" t="s">
        <v>65</v>
      </c>
      <c r="M2" s="2">
        <f t="shared" ref="M2:M33" si="1">L2*200*9</f>
        <v>0</v>
      </c>
      <c r="O2" s="6" t="str">
        <f>P2*200&amp;"원"</f>
        <v>0원</v>
      </c>
    </row>
    <row r="3" spans="1:16" x14ac:dyDescent="0.3">
      <c r="A3" t="s">
        <v>69</v>
      </c>
      <c r="B3" t="s">
        <v>67</v>
      </c>
      <c r="C3" t="s">
        <v>68</v>
      </c>
      <c r="E3" t="str">
        <f t="shared" si="0"/>
        <v>구매가 0원</v>
      </c>
      <c r="G3" s="3"/>
      <c r="H3" t="s">
        <v>69</v>
      </c>
      <c r="I3" t="s">
        <v>63</v>
      </c>
      <c r="J3" t="s">
        <v>49</v>
      </c>
      <c r="K3" t="s">
        <v>65</v>
      </c>
      <c r="M3" s="2">
        <f t="shared" si="1"/>
        <v>0</v>
      </c>
      <c r="O3" s="6" t="str">
        <f t="shared" ref="O3:O66" si="2">P3*200&amp;"원"</f>
        <v>0원</v>
      </c>
    </row>
    <row r="4" spans="1:16" x14ac:dyDescent="0.3">
      <c r="A4" t="s">
        <v>70</v>
      </c>
      <c r="B4" t="s">
        <v>67</v>
      </c>
      <c r="C4" t="s">
        <v>68</v>
      </c>
      <c r="E4" t="str">
        <f t="shared" si="0"/>
        <v>구매가 0원</v>
      </c>
      <c r="G4" s="3"/>
      <c r="H4" t="s">
        <v>70</v>
      </c>
      <c r="I4" t="s">
        <v>63</v>
      </c>
      <c r="J4" t="s">
        <v>49</v>
      </c>
      <c r="K4" t="s">
        <v>65</v>
      </c>
      <c r="M4" s="2">
        <f t="shared" si="1"/>
        <v>0</v>
      </c>
      <c r="O4" s="6" t="str">
        <f t="shared" si="2"/>
        <v>0원</v>
      </c>
    </row>
    <row r="5" spans="1:16" x14ac:dyDescent="0.3">
      <c r="A5" t="s">
        <v>71</v>
      </c>
      <c r="B5" t="s">
        <v>67</v>
      </c>
      <c r="C5" t="s">
        <v>68</v>
      </c>
      <c r="E5" t="str">
        <f t="shared" si="0"/>
        <v>구매가 0원</v>
      </c>
      <c r="G5" s="3"/>
      <c r="H5" t="s">
        <v>71</v>
      </c>
      <c r="I5" t="s">
        <v>63</v>
      </c>
      <c r="J5" t="s">
        <v>49</v>
      </c>
      <c r="K5" t="s">
        <v>65</v>
      </c>
      <c r="M5" s="2">
        <f t="shared" si="1"/>
        <v>0</v>
      </c>
      <c r="O5" s="6" t="str">
        <f t="shared" si="2"/>
        <v>0원</v>
      </c>
    </row>
    <row r="6" spans="1:16" x14ac:dyDescent="0.3">
      <c r="A6" t="s">
        <v>72</v>
      </c>
      <c r="B6" t="s">
        <v>67</v>
      </c>
      <c r="C6" t="s">
        <v>68</v>
      </c>
      <c r="E6" t="str">
        <f t="shared" si="0"/>
        <v>구매가 0원</v>
      </c>
      <c r="G6" s="3"/>
      <c r="H6" t="s">
        <v>72</v>
      </c>
      <c r="I6" t="s">
        <v>63</v>
      </c>
      <c r="J6" t="s">
        <v>49</v>
      </c>
      <c r="K6" t="s">
        <v>65</v>
      </c>
      <c r="M6" s="2">
        <f t="shared" si="1"/>
        <v>0</v>
      </c>
      <c r="O6" s="6" t="str">
        <f t="shared" si="2"/>
        <v>0원</v>
      </c>
    </row>
    <row r="7" spans="1:16" x14ac:dyDescent="0.3">
      <c r="A7" t="s">
        <v>73</v>
      </c>
      <c r="B7" t="s">
        <v>67</v>
      </c>
      <c r="C7" t="s">
        <v>68</v>
      </c>
      <c r="E7" t="str">
        <f t="shared" si="0"/>
        <v>구매가 0원</v>
      </c>
      <c r="G7" s="3"/>
      <c r="H7" t="s">
        <v>73</v>
      </c>
      <c r="I7" t="s">
        <v>63</v>
      </c>
      <c r="J7" t="s">
        <v>49</v>
      </c>
      <c r="K7" t="s">
        <v>65</v>
      </c>
      <c r="M7" s="2">
        <f t="shared" si="1"/>
        <v>0</v>
      </c>
      <c r="O7" s="6" t="str">
        <f t="shared" si="2"/>
        <v>0원</v>
      </c>
    </row>
    <row r="8" spans="1:16" x14ac:dyDescent="0.3">
      <c r="A8" t="s">
        <v>74</v>
      </c>
      <c r="B8" t="s">
        <v>67</v>
      </c>
      <c r="C8" t="s">
        <v>68</v>
      </c>
      <c r="E8" t="str">
        <f t="shared" si="0"/>
        <v>구매가 0원</v>
      </c>
      <c r="G8" s="3"/>
      <c r="H8" t="s">
        <v>74</v>
      </c>
      <c r="I8" t="s">
        <v>63</v>
      </c>
      <c r="J8" t="s">
        <v>49</v>
      </c>
      <c r="K8" t="s">
        <v>65</v>
      </c>
      <c r="M8" s="2">
        <f t="shared" si="1"/>
        <v>0</v>
      </c>
      <c r="O8" s="6" t="str">
        <f t="shared" si="2"/>
        <v>0원</v>
      </c>
    </row>
    <row r="9" spans="1:16" x14ac:dyDescent="0.3">
      <c r="A9" t="s">
        <v>75</v>
      </c>
      <c r="B9" t="s">
        <v>67</v>
      </c>
      <c r="C9" t="s">
        <v>68</v>
      </c>
      <c r="E9" t="str">
        <f t="shared" si="0"/>
        <v>구매가 0원</v>
      </c>
      <c r="G9" s="3"/>
      <c r="H9" t="s">
        <v>75</v>
      </c>
      <c r="I9" t="s">
        <v>63</v>
      </c>
      <c r="J9" t="s">
        <v>49</v>
      </c>
      <c r="K9" t="s">
        <v>65</v>
      </c>
      <c r="M9" s="2">
        <f t="shared" si="1"/>
        <v>0</v>
      </c>
      <c r="O9" s="6" t="str">
        <f t="shared" si="2"/>
        <v>0원</v>
      </c>
    </row>
    <row r="10" spans="1:16" x14ac:dyDescent="0.3">
      <c r="A10" t="s">
        <v>76</v>
      </c>
      <c r="B10" t="s">
        <v>67</v>
      </c>
      <c r="C10" t="s">
        <v>68</v>
      </c>
      <c r="E10" t="str">
        <f t="shared" si="0"/>
        <v>구매가 0원</v>
      </c>
      <c r="G10" s="3"/>
      <c r="H10" t="s">
        <v>76</v>
      </c>
      <c r="I10" t="s">
        <v>63</v>
      </c>
      <c r="J10" t="s">
        <v>49</v>
      </c>
      <c r="K10" t="s">
        <v>65</v>
      </c>
      <c r="M10" s="2">
        <f t="shared" si="1"/>
        <v>0</v>
      </c>
      <c r="O10" s="6" t="str">
        <f t="shared" si="2"/>
        <v>0원</v>
      </c>
    </row>
    <row r="11" spans="1:16" x14ac:dyDescent="0.3">
      <c r="A11" t="s">
        <v>77</v>
      </c>
      <c r="B11" t="s">
        <v>67</v>
      </c>
      <c r="C11" t="s">
        <v>68</v>
      </c>
      <c r="E11" t="str">
        <f t="shared" si="0"/>
        <v>구매가 0원</v>
      </c>
      <c r="G11" s="3"/>
      <c r="H11" t="s">
        <v>77</v>
      </c>
      <c r="I11" t="s">
        <v>63</v>
      </c>
      <c r="J11" t="s">
        <v>49</v>
      </c>
      <c r="K11" t="s">
        <v>65</v>
      </c>
      <c r="M11" s="2">
        <f t="shared" si="1"/>
        <v>0</v>
      </c>
      <c r="O11" s="6" t="str">
        <f t="shared" si="2"/>
        <v>0원</v>
      </c>
    </row>
    <row r="12" spans="1:16" x14ac:dyDescent="0.3">
      <c r="A12" t="s">
        <v>78</v>
      </c>
      <c r="B12" t="s">
        <v>67</v>
      </c>
      <c r="C12" t="s">
        <v>68</v>
      </c>
      <c r="E12" t="str">
        <f t="shared" si="0"/>
        <v>구매가 0원</v>
      </c>
      <c r="G12" s="3"/>
      <c r="H12" t="s">
        <v>78</v>
      </c>
      <c r="I12" t="s">
        <v>63</v>
      </c>
      <c r="J12" t="s">
        <v>49</v>
      </c>
      <c r="K12" t="s">
        <v>65</v>
      </c>
      <c r="M12" s="2">
        <f t="shared" si="1"/>
        <v>0</v>
      </c>
      <c r="O12" s="6" t="str">
        <f t="shared" si="2"/>
        <v>0원</v>
      </c>
    </row>
    <row r="13" spans="1:16" x14ac:dyDescent="0.3">
      <c r="A13" t="s">
        <v>79</v>
      </c>
      <c r="B13" t="s">
        <v>67</v>
      </c>
      <c r="C13" t="s">
        <v>68</v>
      </c>
      <c r="E13" t="str">
        <f t="shared" si="0"/>
        <v>구매가 0원</v>
      </c>
      <c r="G13" s="3"/>
      <c r="H13" t="s">
        <v>79</v>
      </c>
      <c r="I13" t="s">
        <v>63</v>
      </c>
      <c r="J13" t="s">
        <v>49</v>
      </c>
      <c r="K13" t="s">
        <v>65</v>
      </c>
      <c r="M13" s="2">
        <f t="shared" si="1"/>
        <v>0</v>
      </c>
      <c r="O13" s="6" t="str">
        <f t="shared" si="2"/>
        <v>0원</v>
      </c>
    </row>
    <row r="14" spans="1:16" x14ac:dyDescent="0.3">
      <c r="A14" t="s">
        <v>80</v>
      </c>
      <c r="B14" t="s">
        <v>67</v>
      </c>
      <c r="C14" t="s">
        <v>68</v>
      </c>
      <c r="E14" t="str">
        <f t="shared" si="0"/>
        <v>구매가 0원</v>
      </c>
      <c r="G14" s="3"/>
      <c r="H14" t="s">
        <v>80</v>
      </c>
      <c r="I14" t="s">
        <v>63</v>
      </c>
      <c r="J14" t="s">
        <v>49</v>
      </c>
      <c r="K14" t="s">
        <v>65</v>
      </c>
      <c r="M14" s="2">
        <f t="shared" si="1"/>
        <v>0</v>
      </c>
      <c r="O14" s="6" t="str">
        <f t="shared" si="2"/>
        <v>0원</v>
      </c>
    </row>
    <row r="15" spans="1:16" x14ac:dyDescent="0.3">
      <c r="A15" t="s">
        <v>81</v>
      </c>
      <c r="B15" t="s">
        <v>67</v>
      </c>
      <c r="C15" t="s">
        <v>68</v>
      </c>
      <c r="E15" t="str">
        <f t="shared" si="0"/>
        <v>구매가 0원</v>
      </c>
      <c r="G15" s="3"/>
      <c r="H15" t="s">
        <v>81</v>
      </c>
      <c r="I15" t="s">
        <v>63</v>
      </c>
      <c r="J15" t="s">
        <v>49</v>
      </c>
      <c r="K15" t="s">
        <v>65</v>
      </c>
      <c r="M15" s="2">
        <f t="shared" si="1"/>
        <v>0</v>
      </c>
      <c r="O15" s="6" t="str">
        <f t="shared" si="2"/>
        <v>0원</v>
      </c>
    </row>
    <row r="16" spans="1:16" x14ac:dyDescent="0.3">
      <c r="A16" t="s">
        <v>82</v>
      </c>
      <c r="B16" t="s">
        <v>67</v>
      </c>
      <c r="C16" t="s">
        <v>68</v>
      </c>
      <c r="E16" t="str">
        <f t="shared" si="0"/>
        <v>구매가 0원</v>
      </c>
      <c r="G16" s="3"/>
      <c r="H16" t="s">
        <v>82</v>
      </c>
      <c r="I16" t="s">
        <v>63</v>
      </c>
      <c r="J16" t="s">
        <v>49</v>
      </c>
      <c r="K16" t="s">
        <v>65</v>
      </c>
      <c r="M16" s="2">
        <f t="shared" si="1"/>
        <v>0</v>
      </c>
      <c r="O16" s="6" t="str">
        <f t="shared" si="2"/>
        <v>0원</v>
      </c>
    </row>
    <row r="17" spans="1:15" x14ac:dyDescent="0.3">
      <c r="A17" t="s">
        <v>83</v>
      </c>
      <c r="B17" t="s">
        <v>67</v>
      </c>
      <c r="C17" t="s">
        <v>68</v>
      </c>
      <c r="E17" t="str">
        <f t="shared" si="0"/>
        <v>구매가 0원</v>
      </c>
      <c r="G17" s="3"/>
      <c r="H17" t="s">
        <v>83</v>
      </c>
      <c r="I17" t="s">
        <v>63</v>
      </c>
      <c r="J17" t="s">
        <v>49</v>
      </c>
      <c r="K17" t="s">
        <v>65</v>
      </c>
      <c r="M17" s="2">
        <f t="shared" si="1"/>
        <v>0</v>
      </c>
      <c r="O17" s="6" t="str">
        <f t="shared" si="2"/>
        <v>0원</v>
      </c>
    </row>
    <row r="18" spans="1:15" x14ac:dyDescent="0.3">
      <c r="A18" t="s">
        <v>84</v>
      </c>
      <c r="B18" t="s">
        <v>67</v>
      </c>
      <c r="C18" t="s">
        <v>68</v>
      </c>
      <c r="E18" t="str">
        <f t="shared" si="0"/>
        <v>구매가 0원</v>
      </c>
      <c r="G18" s="3"/>
      <c r="H18" t="s">
        <v>84</v>
      </c>
      <c r="I18" t="s">
        <v>63</v>
      </c>
      <c r="J18" t="s">
        <v>49</v>
      </c>
      <c r="K18" t="s">
        <v>65</v>
      </c>
      <c r="M18" s="2">
        <f t="shared" si="1"/>
        <v>0</v>
      </c>
      <c r="O18" s="6" t="str">
        <f t="shared" si="2"/>
        <v>0원</v>
      </c>
    </row>
    <row r="19" spans="1:15" x14ac:dyDescent="0.3">
      <c r="A19" t="s">
        <v>85</v>
      </c>
      <c r="B19" t="s">
        <v>67</v>
      </c>
      <c r="C19" t="s">
        <v>68</v>
      </c>
      <c r="E19" t="str">
        <f t="shared" si="0"/>
        <v>구매가 0원</v>
      </c>
      <c r="G19" s="3"/>
      <c r="H19" t="s">
        <v>85</v>
      </c>
      <c r="I19" t="s">
        <v>63</v>
      </c>
      <c r="J19" t="s">
        <v>49</v>
      </c>
      <c r="K19" t="s">
        <v>65</v>
      </c>
      <c r="M19" s="2">
        <f t="shared" si="1"/>
        <v>0</v>
      </c>
      <c r="O19" s="6" t="str">
        <f t="shared" si="2"/>
        <v>0원</v>
      </c>
    </row>
    <row r="20" spans="1:15" x14ac:dyDescent="0.3">
      <c r="A20" t="s">
        <v>86</v>
      </c>
      <c r="B20" t="s">
        <v>67</v>
      </c>
      <c r="C20" t="s">
        <v>68</v>
      </c>
      <c r="E20" t="str">
        <f t="shared" si="0"/>
        <v>구매가 0원</v>
      </c>
      <c r="G20" s="3"/>
      <c r="H20" t="s">
        <v>86</v>
      </c>
      <c r="I20" t="s">
        <v>63</v>
      </c>
      <c r="J20" t="s">
        <v>49</v>
      </c>
      <c r="K20" t="s">
        <v>65</v>
      </c>
      <c r="M20" s="2">
        <f t="shared" si="1"/>
        <v>0</v>
      </c>
      <c r="O20" s="6" t="str">
        <f t="shared" si="2"/>
        <v>0원</v>
      </c>
    </row>
    <row r="21" spans="1:15" x14ac:dyDescent="0.3">
      <c r="A21" t="s">
        <v>87</v>
      </c>
      <c r="B21" t="s">
        <v>67</v>
      </c>
      <c r="C21" t="s">
        <v>68</v>
      </c>
      <c r="E21" t="str">
        <f t="shared" si="0"/>
        <v>구매가 0원</v>
      </c>
      <c r="G21" s="3"/>
      <c r="H21" t="s">
        <v>87</v>
      </c>
      <c r="I21" t="s">
        <v>63</v>
      </c>
      <c r="J21" t="s">
        <v>49</v>
      </c>
      <c r="K21" t="s">
        <v>65</v>
      </c>
      <c r="M21" s="2">
        <f t="shared" si="1"/>
        <v>0</v>
      </c>
      <c r="O21" s="6" t="str">
        <f t="shared" si="2"/>
        <v>0원</v>
      </c>
    </row>
    <row r="22" spans="1:15" x14ac:dyDescent="0.3">
      <c r="A22" t="s">
        <v>88</v>
      </c>
      <c r="B22" t="s">
        <v>67</v>
      </c>
      <c r="C22" t="s">
        <v>68</v>
      </c>
      <c r="E22" t="str">
        <f t="shared" si="0"/>
        <v>구매가 0원</v>
      </c>
      <c r="G22" s="3"/>
      <c r="H22" t="s">
        <v>88</v>
      </c>
      <c r="I22" t="s">
        <v>63</v>
      </c>
      <c r="J22" t="s">
        <v>49</v>
      </c>
      <c r="K22" t="s">
        <v>65</v>
      </c>
      <c r="M22" s="2">
        <f t="shared" si="1"/>
        <v>0</v>
      </c>
      <c r="O22" s="6" t="str">
        <f t="shared" si="2"/>
        <v>0원</v>
      </c>
    </row>
    <row r="23" spans="1:15" x14ac:dyDescent="0.3">
      <c r="A23" t="s">
        <v>89</v>
      </c>
      <c r="B23" t="s">
        <v>67</v>
      </c>
      <c r="C23" t="s">
        <v>68</v>
      </c>
      <c r="E23" t="str">
        <f t="shared" si="0"/>
        <v>구매가 0원</v>
      </c>
      <c r="G23" s="3"/>
      <c r="H23" t="s">
        <v>89</v>
      </c>
      <c r="I23" t="s">
        <v>63</v>
      </c>
      <c r="J23" t="s">
        <v>49</v>
      </c>
      <c r="K23" t="s">
        <v>65</v>
      </c>
      <c r="M23" s="2">
        <f t="shared" si="1"/>
        <v>0</v>
      </c>
      <c r="O23" s="6" t="str">
        <f t="shared" si="2"/>
        <v>0원</v>
      </c>
    </row>
    <row r="24" spans="1:15" x14ac:dyDescent="0.3">
      <c r="A24" t="s">
        <v>90</v>
      </c>
      <c r="B24" t="s">
        <v>67</v>
      </c>
      <c r="C24" t="s">
        <v>68</v>
      </c>
      <c r="E24" t="str">
        <f t="shared" si="0"/>
        <v>구매가 0원</v>
      </c>
      <c r="G24" s="3"/>
      <c r="H24" t="s">
        <v>90</v>
      </c>
      <c r="I24" t="s">
        <v>63</v>
      </c>
      <c r="J24" t="s">
        <v>49</v>
      </c>
      <c r="K24" t="s">
        <v>65</v>
      </c>
      <c r="M24" s="2">
        <f t="shared" si="1"/>
        <v>0</v>
      </c>
      <c r="O24" s="6" t="str">
        <f t="shared" si="2"/>
        <v>0원</v>
      </c>
    </row>
    <row r="25" spans="1:15" x14ac:dyDescent="0.3">
      <c r="A25" t="s">
        <v>91</v>
      </c>
      <c r="B25" t="s">
        <v>67</v>
      </c>
      <c r="C25" t="s">
        <v>68</v>
      </c>
      <c r="E25" t="str">
        <f t="shared" si="0"/>
        <v>구매가 0원</v>
      </c>
      <c r="G25" s="3"/>
      <c r="H25" t="s">
        <v>91</v>
      </c>
      <c r="I25" t="s">
        <v>63</v>
      </c>
      <c r="J25" t="s">
        <v>49</v>
      </c>
      <c r="K25" t="s">
        <v>65</v>
      </c>
      <c r="M25" s="2">
        <f t="shared" si="1"/>
        <v>0</v>
      </c>
      <c r="O25" s="6" t="str">
        <f t="shared" si="2"/>
        <v>0원</v>
      </c>
    </row>
    <row r="26" spans="1:15" x14ac:dyDescent="0.3">
      <c r="A26" t="s">
        <v>92</v>
      </c>
      <c r="B26" t="s">
        <v>67</v>
      </c>
      <c r="C26" t="s">
        <v>68</v>
      </c>
      <c r="E26" t="str">
        <f t="shared" si="0"/>
        <v>구매가 0원</v>
      </c>
      <c r="G26" s="3"/>
      <c r="H26" t="s">
        <v>92</v>
      </c>
      <c r="I26" t="s">
        <v>63</v>
      </c>
      <c r="J26" t="s">
        <v>49</v>
      </c>
      <c r="K26" t="s">
        <v>65</v>
      </c>
      <c r="M26" s="2">
        <f t="shared" si="1"/>
        <v>0</v>
      </c>
      <c r="O26" s="6" t="str">
        <f t="shared" si="2"/>
        <v>0원</v>
      </c>
    </row>
    <row r="27" spans="1:15" x14ac:dyDescent="0.3">
      <c r="A27" t="s">
        <v>93</v>
      </c>
      <c r="B27" t="s">
        <v>67</v>
      </c>
      <c r="C27" t="s">
        <v>68</v>
      </c>
      <c r="E27" t="str">
        <f t="shared" si="0"/>
        <v>구매가 0원</v>
      </c>
      <c r="G27" s="3"/>
      <c r="H27" t="s">
        <v>93</v>
      </c>
      <c r="I27" t="s">
        <v>63</v>
      </c>
      <c r="J27" t="s">
        <v>49</v>
      </c>
      <c r="K27" t="s">
        <v>65</v>
      </c>
      <c r="M27" s="2">
        <f t="shared" si="1"/>
        <v>0</v>
      </c>
      <c r="O27" s="6" t="str">
        <f t="shared" si="2"/>
        <v>0원</v>
      </c>
    </row>
    <row r="28" spans="1:15" x14ac:dyDescent="0.3">
      <c r="A28" t="s">
        <v>94</v>
      </c>
      <c r="B28" t="s">
        <v>67</v>
      </c>
      <c r="C28" t="s">
        <v>68</v>
      </c>
      <c r="E28" t="str">
        <f t="shared" si="0"/>
        <v>구매가 0원</v>
      </c>
      <c r="G28" s="3"/>
      <c r="H28" t="s">
        <v>94</v>
      </c>
      <c r="I28" t="s">
        <v>63</v>
      </c>
      <c r="J28" t="s">
        <v>49</v>
      </c>
      <c r="K28" t="s">
        <v>65</v>
      </c>
      <c r="M28" s="2">
        <f t="shared" si="1"/>
        <v>0</v>
      </c>
      <c r="O28" s="6" t="str">
        <f t="shared" si="2"/>
        <v>0원</v>
      </c>
    </row>
    <row r="29" spans="1:15" x14ac:dyDescent="0.3">
      <c r="A29" t="s">
        <v>95</v>
      </c>
      <c r="B29" t="s">
        <v>67</v>
      </c>
      <c r="C29" t="s">
        <v>68</v>
      </c>
      <c r="E29" t="str">
        <f t="shared" si="0"/>
        <v>구매가 0원</v>
      </c>
      <c r="G29" s="3"/>
      <c r="H29" t="s">
        <v>95</v>
      </c>
      <c r="I29" t="s">
        <v>63</v>
      </c>
      <c r="J29" t="s">
        <v>49</v>
      </c>
      <c r="K29" t="s">
        <v>65</v>
      </c>
      <c r="M29" s="2">
        <f t="shared" si="1"/>
        <v>0</v>
      </c>
      <c r="O29" s="6" t="str">
        <f t="shared" si="2"/>
        <v>0원</v>
      </c>
    </row>
    <row r="30" spans="1:15" x14ac:dyDescent="0.3">
      <c r="A30" t="s">
        <v>96</v>
      </c>
      <c r="B30" t="s">
        <v>67</v>
      </c>
      <c r="C30" t="s">
        <v>68</v>
      </c>
      <c r="E30" t="str">
        <f t="shared" si="0"/>
        <v>구매가 0원</v>
      </c>
      <c r="G30" s="3"/>
      <c r="H30" t="s">
        <v>96</v>
      </c>
      <c r="I30" t="s">
        <v>63</v>
      </c>
      <c r="J30" t="s">
        <v>49</v>
      </c>
      <c r="K30" t="s">
        <v>65</v>
      </c>
      <c r="M30" s="2">
        <f t="shared" si="1"/>
        <v>0</v>
      </c>
      <c r="O30" s="6" t="str">
        <f t="shared" si="2"/>
        <v>0원</v>
      </c>
    </row>
    <row r="31" spans="1:15" x14ac:dyDescent="0.3">
      <c r="A31" t="s">
        <v>97</v>
      </c>
      <c r="B31" t="s">
        <v>67</v>
      </c>
      <c r="C31" t="s">
        <v>68</v>
      </c>
      <c r="E31" t="str">
        <f t="shared" si="0"/>
        <v>구매가 0원</v>
      </c>
      <c r="G31" s="3"/>
      <c r="H31" t="s">
        <v>97</v>
      </c>
      <c r="I31" t="s">
        <v>63</v>
      </c>
      <c r="J31" t="s">
        <v>49</v>
      </c>
      <c r="K31" t="s">
        <v>65</v>
      </c>
      <c r="M31" s="2">
        <f t="shared" si="1"/>
        <v>0</v>
      </c>
      <c r="O31" s="6" t="str">
        <f t="shared" si="2"/>
        <v>0원</v>
      </c>
    </row>
    <row r="32" spans="1:15" x14ac:dyDescent="0.3">
      <c r="A32" t="s">
        <v>98</v>
      </c>
      <c r="B32" t="s">
        <v>67</v>
      </c>
      <c r="C32" t="s">
        <v>68</v>
      </c>
      <c r="E32" t="str">
        <f t="shared" si="0"/>
        <v>구매가 0원</v>
      </c>
      <c r="G32" s="3"/>
      <c r="H32" t="s">
        <v>98</v>
      </c>
      <c r="I32" t="s">
        <v>63</v>
      </c>
      <c r="J32" t="s">
        <v>49</v>
      </c>
      <c r="K32" t="s">
        <v>65</v>
      </c>
      <c r="M32" s="2">
        <f t="shared" si="1"/>
        <v>0</v>
      </c>
      <c r="O32" s="6" t="str">
        <f t="shared" si="2"/>
        <v>0원</v>
      </c>
    </row>
    <row r="33" spans="1:15" x14ac:dyDescent="0.3">
      <c r="A33" t="s">
        <v>99</v>
      </c>
      <c r="B33" t="s">
        <v>67</v>
      </c>
      <c r="C33" t="s">
        <v>68</v>
      </c>
      <c r="E33" t="str">
        <f t="shared" si="0"/>
        <v>구매가 0원</v>
      </c>
      <c r="G33" s="3"/>
      <c r="H33" t="s">
        <v>99</v>
      </c>
      <c r="I33" t="s">
        <v>63</v>
      </c>
      <c r="J33" t="s">
        <v>49</v>
      </c>
      <c r="K33" t="s">
        <v>65</v>
      </c>
      <c r="M33" s="2">
        <f t="shared" si="1"/>
        <v>0</v>
      </c>
      <c r="O33" s="6" t="str">
        <f t="shared" si="2"/>
        <v>0원</v>
      </c>
    </row>
    <row r="34" spans="1:15" x14ac:dyDescent="0.3">
      <c r="A34" t="s">
        <v>100</v>
      </c>
      <c r="B34" t="s">
        <v>67</v>
      </c>
      <c r="C34" t="s">
        <v>68</v>
      </c>
      <c r="E34" t="str">
        <f t="shared" ref="E34:E65" si="3">"구매가 "&amp;TEXT(M34,"#,##0")&amp;"원"</f>
        <v>구매가 0원</v>
      </c>
      <c r="G34" s="3"/>
      <c r="H34" t="s">
        <v>100</v>
      </c>
      <c r="I34" t="s">
        <v>63</v>
      </c>
      <c r="J34" t="s">
        <v>49</v>
      </c>
      <c r="K34" t="s">
        <v>65</v>
      </c>
      <c r="M34" s="2">
        <f t="shared" ref="M34:M65" si="4">L34*200*9</f>
        <v>0</v>
      </c>
      <c r="O34" s="6" t="str">
        <f t="shared" si="2"/>
        <v>0원</v>
      </c>
    </row>
    <row r="35" spans="1:15" x14ac:dyDescent="0.3">
      <c r="A35" t="s">
        <v>101</v>
      </c>
      <c r="B35" t="s">
        <v>67</v>
      </c>
      <c r="C35" t="s">
        <v>68</v>
      </c>
      <c r="E35" t="str">
        <f t="shared" si="3"/>
        <v>구매가 0원</v>
      </c>
      <c r="G35" s="3"/>
      <c r="H35" t="s">
        <v>101</v>
      </c>
      <c r="I35" t="s">
        <v>63</v>
      </c>
      <c r="J35" t="s">
        <v>49</v>
      </c>
      <c r="K35" t="s">
        <v>65</v>
      </c>
      <c r="M35" s="2">
        <f t="shared" si="4"/>
        <v>0</v>
      </c>
      <c r="O35" s="6" t="str">
        <f t="shared" si="2"/>
        <v>0원</v>
      </c>
    </row>
    <row r="36" spans="1:15" x14ac:dyDescent="0.3">
      <c r="A36" t="s">
        <v>102</v>
      </c>
      <c r="B36" t="s">
        <v>67</v>
      </c>
      <c r="C36" t="s">
        <v>68</v>
      </c>
      <c r="E36" t="str">
        <f t="shared" si="3"/>
        <v>구매가 0원</v>
      </c>
      <c r="G36" s="3"/>
      <c r="H36" t="s">
        <v>102</v>
      </c>
      <c r="I36" t="s">
        <v>63</v>
      </c>
      <c r="J36" t="s">
        <v>49</v>
      </c>
      <c r="K36" t="s">
        <v>65</v>
      </c>
      <c r="M36" s="2">
        <f t="shared" si="4"/>
        <v>0</v>
      </c>
      <c r="O36" s="6" t="str">
        <f t="shared" si="2"/>
        <v>0원</v>
      </c>
    </row>
    <row r="37" spans="1:15" x14ac:dyDescent="0.3">
      <c r="A37" t="s">
        <v>103</v>
      </c>
      <c r="B37" t="s">
        <v>67</v>
      </c>
      <c r="C37" t="s">
        <v>68</v>
      </c>
      <c r="E37" t="str">
        <f t="shared" si="3"/>
        <v>구매가 0원</v>
      </c>
      <c r="G37" s="3"/>
      <c r="H37" t="s">
        <v>103</v>
      </c>
      <c r="I37" t="s">
        <v>63</v>
      </c>
      <c r="J37" t="s">
        <v>49</v>
      </c>
      <c r="K37" t="s">
        <v>65</v>
      </c>
      <c r="M37" s="2">
        <f t="shared" si="4"/>
        <v>0</v>
      </c>
      <c r="O37" s="6" t="str">
        <f t="shared" si="2"/>
        <v>0원</v>
      </c>
    </row>
    <row r="38" spans="1:15" x14ac:dyDescent="0.3">
      <c r="A38" t="s">
        <v>104</v>
      </c>
      <c r="B38" t="s">
        <v>67</v>
      </c>
      <c r="C38" t="s">
        <v>68</v>
      </c>
      <c r="E38" t="str">
        <f t="shared" si="3"/>
        <v>구매가 0원</v>
      </c>
      <c r="G38" s="3"/>
      <c r="H38" t="s">
        <v>104</v>
      </c>
      <c r="I38" t="s">
        <v>63</v>
      </c>
      <c r="J38" t="s">
        <v>49</v>
      </c>
      <c r="K38" t="s">
        <v>65</v>
      </c>
      <c r="M38" s="2">
        <f t="shared" si="4"/>
        <v>0</v>
      </c>
      <c r="O38" s="6" t="str">
        <f t="shared" si="2"/>
        <v>0원</v>
      </c>
    </row>
    <row r="39" spans="1:15" x14ac:dyDescent="0.3">
      <c r="A39" t="s">
        <v>105</v>
      </c>
      <c r="B39" t="s">
        <v>67</v>
      </c>
      <c r="C39" t="s">
        <v>68</v>
      </c>
      <c r="E39" t="str">
        <f t="shared" si="3"/>
        <v>구매가 0원</v>
      </c>
      <c r="G39" s="3"/>
      <c r="H39" t="s">
        <v>105</v>
      </c>
      <c r="I39" t="s">
        <v>63</v>
      </c>
      <c r="J39" t="s">
        <v>49</v>
      </c>
      <c r="K39" t="s">
        <v>65</v>
      </c>
      <c r="M39" s="2">
        <f t="shared" si="4"/>
        <v>0</v>
      </c>
      <c r="O39" s="6" t="str">
        <f t="shared" si="2"/>
        <v>0원</v>
      </c>
    </row>
    <row r="40" spans="1:15" x14ac:dyDescent="0.3">
      <c r="A40" t="s">
        <v>106</v>
      </c>
      <c r="B40" t="s">
        <v>67</v>
      </c>
      <c r="C40" t="s">
        <v>68</v>
      </c>
      <c r="E40" t="str">
        <f t="shared" si="3"/>
        <v>구매가 0원</v>
      </c>
      <c r="G40" s="3"/>
      <c r="H40" t="s">
        <v>106</v>
      </c>
      <c r="I40" t="s">
        <v>63</v>
      </c>
      <c r="J40" t="s">
        <v>49</v>
      </c>
      <c r="K40" t="s">
        <v>65</v>
      </c>
      <c r="M40" s="2">
        <f t="shared" si="4"/>
        <v>0</v>
      </c>
      <c r="O40" s="6" t="str">
        <f t="shared" si="2"/>
        <v>0원</v>
      </c>
    </row>
    <row r="41" spans="1:15" x14ac:dyDescent="0.3">
      <c r="A41" t="s">
        <v>107</v>
      </c>
      <c r="B41" t="s">
        <v>67</v>
      </c>
      <c r="C41" t="s">
        <v>68</v>
      </c>
      <c r="E41" t="str">
        <f t="shared" si="3"/>
        <v>구매가 0원</v>
      </c>
      <c r="G41" s="3"/>
      <c r="H41" t="s">
        <v>107</v>
      </c>
      <c r="I41" t="s">
        <v>63</v>
      </c>
      <c r="J41" t="s">
        <v>49</v>
      </c>
      <c r="K41" t="s">
        <v>65</v>
      </c>
      <c r="M41" s="2">
        <f t="shared" si="4"/>
        <v>0</v>
      </c>
      <c r="O41" s="6" t="str">
        <f t="shared" si="2"/>
        <v>0원</v>
      </c>
    </row>
    <row r="42" spans="1:15" x14ac:dyDescent="0.3">
      <c r="A42" t="s">
        <v>108</v>
      </c>
      <c r="B42" t="s">
        <v>67</v>
      </c>
      <c r="C42" t="s">
        <v>68</v>
      </c>
      <c r="E42" t="str">
        <f t="shared" si="3"/>
        <v>구매가 0원</v>
      </c>
      <c r="G42" s="3"/>
      <c r="H42" t="s">
        <v>108</v>
      </c>
      <c r="I42" t="s">
        <v>63</v>
      </c>
      <c r="J42" t="s">
        <v>49</v>
      </c>
      <c r="K42" t="s">
        <v>65</v>
      </c>
      <c r="M42" s="2">
        <f t="shared" si="4"/>
        <v>0</v>
      </c>
      <c r="O42" s="6" t="str">
        <f t="shared" si="2"/>
        <v>0원</v>
      </c>
    </row>
    <row r="43" spans="1:15" x14ac:dyDescent="0.3">
      <c r="A43" t="s">
        <v>109</v>
      </c>
      <c r="B43" t="s">
        <v>67</v>
      </c>
      <c r="C43" t="s">
        <v>68</v>
      </c>
      <c r="E43" t="str">
        <f t="shared" si="3"/>
        <v>구매가 0원</v>
      </c>
      <c r="G43" s="3"/>
      <c r="H43" t="s">
        <v>109</v>
      </c>
      <c r="I43" t="s">
        <v>63</v>
      </c>
      <c r="J43" t="s">
        <v>49</v>
      </c>
      <c r="K43" t="s">
        <v>65</v>
      </c>
      <c r="M43" s="2">
        <f t="shared" si="4"/>
        <v>0</v>
      </c>
      <c r="O43" s="6" t="str">
        <f t="shared" si="2"/>
        <v>0원</v>
      </c>
    </row>
    <row r="44" spans="1:15" x14ac:dyDescent="0.3">
      <c r="A44" t="s">
        <v>110</v>
      </c>
      <c r="B44" t="s">
        <v>67</v>
      </c>
      <c r="C44" t="s">
        <v>68</v>
      </c>
      <c r="E44" t="str">
        <f t="shared" si="3"/>
        <v>구매가 0원</v>
      </c>
      <c r="G44" s="3"/>
      <c r="H44" t="s">
        <v>110</v>
      </c>
      <c r="I44" t="s">
        <v>63</v>
      </c>
      <c r="J44" t="s">
        <v>49</v>
      </c>
      <c r="K44" t="s">
        <v>65</v>
      </c>
      <c r="M44" s="2">
        <f t="shared" si="4"/>
        <v>0</v>
      </c>
      <c r="O44" s="6" t="str">
        <f t="shared" si="2"/>
        <v>0원</v>
      </c>
    </row>
    <row r="45" spans="1:15" x14ac:dyDescent="0.3">
      <c r="A45" t="s">
        <v>111</v>
      </c>
      <c r="B45" t="s">
        <v>67</v>
      </c>
      <c r="C45" t="s">
        <v>68</v>
      </c>
      <c r="E45" t="str">
        <f t="shared" si="3"/>
        <v>구매가 0원</v>
      </c>
      <c r="G45" s="3"/>
      <c r="H45" t="s">
        <v>111</v>
      </c>
      <c r="I45" t="s">
        <v>63</v>
      </c>
      <c r="J45" t="s">
        <v>49</v>
      </c>
      <c r="K45" t="s">
        <v>65</v>
      </c>
      <c r="M45" s="2">
        <f t="shared" si="4"/>
        <v>0</v>
      </c>
      <c r="O45" s="6" t="str">
        <f t="shared" si="2"/>
        <v>0원</v>
      </c>
    </row>
    <row r="46" spans="1:15" x14ac:dyDescent="0.3">
      <c r="A46" t="s">
        <v>112</v>
      </c>
      <c r="B46" t="s">
        <v>67</v>
      </c>
      <c r="C46" t="s">
        <v>68</v>
      </c>
      <c r="E46" t="str">
        <f t="shared" si="3"/>
        <v>구매가 0원</v>
      </c>
      <c r="G46" s="3"/>
      <c r="H46" t="s">
        <v>112</v>
      </c>
      <c r="I46" t="s">
        <v>63</v>
      </c>
      <c r="J46" t="s">
        <v>49</v>
      </c>
      <c r="K46" t="s">
        <v>65</v>
      </c>
      <c r="M46" s="2">
        <f t="shared" si="4"/>
        <v>0</v>
      </c>
      <c r="O46" s="6" t="str">
        <f t="shared" si="2"/>
        <v>0원</v>
      </c>
    </row>
    <row r="47" spans="1:15" x14ac:dyDescent="0.3">
      <c r="A47" t="s">
        <v>113</v>
      </c>
      <c r="B47" t="s">
        <v>67</v>
      </c>
      <c r="C47" t="s">
        <v>68</v>
      </c>
      <c r="E47" t="str">
        <f t="shared" si="3"/>
        <v>구매가 0원</v>
      </c>
      <c r="G47" s="3"/>
      <c r="H47" t="s">
        <v>113</v>
      </c>
      <c r="I47" t="s">
        <v>63</v>
      </c>
      <c r="J47" t="s">
        <v>49</v>
      </c>
      <c r="K47" t="s">
        <v>65</v>
      </c>
      <c r="M47" s="2">
        <f t="shared" si="4"/>
        <v>0</v>
      </c>
      <c r="O47" s="6" t="str">
        <f t="shared" si="2"/>
        <v>0원</v>
      </c>
    </row>
    <row r="48" spans="1:15" x14ac:dyDescent="0.3">
      <c r="A48" t="s">
        <v>114</v>
      </c>
      <c r="B48" t="s">
        <v>67</v>
      </c>
      <c r="C48" t="s">
        <v>68</v>
      </c>
      <c r="E48" t="str">
        <f t="shared" si="3"/>
        <v>구매가 0원</v>
      </c>
      <c r="G48" s="3"/>
      <c r="H48" t="s">
        <v>114</v>
      </c>
      <c r="I48" t="s">
        <v>63</v>
      </c>
      <c r="J48" t="s">
        <v>49</v>
      </c>
      <c r="K48" t="s">
        <v>65</v>
      </c>
      <c r="M48" s="2">
        <f t="shared" si="4"/>
        <v>0</v>
      </c>
      <c r="O48" s="6" t="str">
        <f t="shared" si="2"/>
        <v>0원</v>
      </c>
    </row>
    <row r="49" spans="1:15" x14ac:dyDescent="0.3">
      <c r="A49" t="s">
        <v>115</v>
      </c>
      <c r="B49" t="s">
        <v>67</v>
      </c>
      <c r="C49" t="s">
        <v>68</v>
      </c>
      <c r="E49" t="str">
        <f t="shared" si="3"/>
        <v>구매가 0원</v>
      </c>
      <c r="G49" s="3"/>
      <c r="H49" t="s">
        <v>115</v>
      </c>
      <c r="I49" t="s">
        <v>63</v>
      </c>
      <c r="J49" t="s">
        <v>49</v>
      </c>
      <c r="K49" t="s">
        <v>65</v>
      </c>
      <c r="M49" s="2">
        <f t="shared" si="4"/>
        <v>0</v>
      </c>
      <c r="O49" s="6" t="str">
        <f t="shared" si="2"/>
        <v>0원</v>
      </c>
    </row>
    <row r="50" spans="1:15" x14ac:dyDescent="0.3">
      <c r="A50" t="s">
        <v>116</v>
      </c>
      <c r="B50" t="s">
        <v>67</v>
      </c>
      <c r="C50" t="s">
        <v>68</v>
      </c>
      <c r="E50" t="str">
        <f t="shared" si="3"/>
        <v>구매가 0원</v>
      </c>
      <c r="G50" s="3"/>
      <c r="H50" t="s">
        <v>116</v>
      </c>
      <c r="I50" t="s">
        <v>63</v>
      </c>
      <c r="J50" t="s">
        <v>49</v>
      </c>
      <c r="K50" t="s">
        <v>65</v>
      </c>
      <c r="M50" s="2">
        <f t="shared" si="4"/>
        <v>0</v>
      </c>
      <c r="O50" s="6" t="str">
        <f t="shared" si="2"/>
        <v>0원</v>
      </c>
    </row>
    <row r="51" spans="1:15" x14ac:dyDescent="0.3">
      <c r="A51" t="s">
        <v>117</v>
      </c>
      <c r="B51" t="s">
        <v>67</v>
      </c>
      <c r="C51" t="s">
        <v>68</v>
      </c>
      <c r="E51" t="str">
        <f t="shared" si="3"/>
        <v>구매가 0원</v>
      </c>
      <c r="G51" s="3"/>
      <c r="H51" t="s">
        <v>117</v>
      </c>
      <c r="I51" t="s">
        <v>63</v>
      </c>
      <c r="J51" t="s">
        <v>49</v>
      </c>
      <c r="K51" t="s">
        <v>65</v>
      </c>
      <c r="M51" s="2">
        <f t="shared" si="4"/>
        <v>0</v>
      </c>
      <c r="O51" s="6" t="str">
        <f t="shared" si="2"/>
        <v>0원</v>
      </c>
    </row>
    <row r="52" spans="1:15" x14ac:dyDescent="0.3">
      <c r="A52" t="s">
        <v>118</v>
      </c>
      <c r="B52" t="s">
        <v>67</v>
      </c>
      <c r="C52" t="s">
        <v>68</v>
      </c>
      <c r="E52" t="str">
        <f t="shared" si="3"/>
        <v>구매가 0원</v>
      </c>
      <c r="G52" s="3"/>
      <c r="H52" t="s">
        <v>118</v>
      </c>
      <c r="I52" t="s">
        <v>63</v>
      </c>
      <c r="J52" t="s">
        <v>49</v>
      </c>
      <c r="K52" t="s">
        <v>65</v>
      </c>
      <c r="M52" s="2">
        <f t="shared" si="4"/>
        <v>0</v>
      </c>
      <c r="O52" s="6" t="str">
        <f t="shared" si="2"/>
        <v>0원</v>
      </c>
    </row>
    <row r="53" spans="1:15" x14ac:dyDescent="0.3">
      <c r="A53" t="s">
        <v>119</v>
      </c>
      <c r="B53" t="s">
        <v>67</v>
      </c>
      <c r="C53" t="s">
        <v>68</v>
      </c>
      <c r="E53" t="str">
        <f t="shared" si="3"/>
        <v>구매가 0원</v>
      </c>
      <c r="G53" s="3"/>
      <c r="H53" t="s">
        <v>119</v>
      </c>
      <c r="I53" t="s">
        <v>63</v>
      </c>
      <c r="J53" t="s">
        <v>49</v>
      </c>
      <c r="K53" t="s">
        <v>65</v>
      </c>
      <c r="M53" s="2">
        <f t="shared" si="4"/>
        <v>0</v>
      </c>
      <c r="O53" s="6" t="str">
        <f t="shared" si="2"/>
        <v>0원</v>
      </c>
    </row>
    <row r="54" spans="1:15" x14ac:dyDescent="0.3">
      <c r="A54" t="s">
        <v>120</v>
      </c>
      <c r="B54" t="s">
        <v>67</v>
      </c>
      <c r="C54" t="s">
        <v>68</v>
      </c>
      <c r="E54" t="str">
        <f t="shared" si="3"/>
        <v>구매가 0원</v>
      </c>
      <c r="G54" s="3"/>
      <c r="H54" t="s">
        <v>120</v>
      </c>
      <c r="I54" t="s">
        <v>63</v>
      </c>
      <c r="J54" t="s">
        <v>49</v>
      </c>
      <c r="K54" t="s">
        <v>65</v>
      </c>
      <c r="M54" s="2">
        <f t="shared" si="4"/>
        <v>0</v>
      </c>
      <c r="O54" s="6" t="str">
        <f t="shared" si="2"/>
        <v>0원</v>
      </c>
    </row>
    <row r="55" spans="1:15" x14ac:dyDescent="0.3">
      <c r="A55" t="s">
        <v>121</v>
      </c>
      <c r="B55" t="s">
        <v>67</v>
      </c>
      <c r="C55" t="s">
        <v>68</v>
      </c>
      <c r="E55" t="str">
        <f t="shared" si="3"/>
        <v>구매가 0원</v>
      </c>
      <c r="G55" s="3"/>
      <c r="H55" t="s">
        <v>121</v>
      </c>
      <c r="I55" t="s">
        <v>63</v>
      </c>
      <c r="J55" t="s">
        <v>49</v>
      </c>
      <c r="K55" t="s">
        <v>65</v>
      </c>
      <c r="M55" s="2">
        <f t="shared" si="4"/>
        <v>0</v>
      </c>
      <c r="O55" s="6" t="str">
        <f t="shared" si="2"/>
        <v>0원</v>
      </c>
    </row>
    <row r="56" spans="1:15" x14ac:dyDescent="0.3">
      <c r="A56" t="s">
        <v>122</v>
      </c>
      <c r="B56" t="s">
        <v>67</v>
      </c>
      <c r="C56" t="s">
        <v>68</v>
      </c>
      <c r="E56" t="str">
        <f t="shared" si="3"/>
        <v>구매가 0원</v>
      </c>
      <c r="G56" s="3"/>
      <c r="H56" t="s">
        <v>122</v>
      </c>
      <c r="I56" t="s">
        <v>63</v>
      </c>
      <c r="J56" t="s">
        <v>49</v>
      </c>
      <c r="K56" t="s">
        <v>65</v>
      </c>
      <c r="M56" s="2">
        <f t="shared" si="4"/>
        <v>0</v>
      </c>
      <c r="O56" s="6" t="str">
        <f t="shared" si="2"/>
        <v>0원</v>
      </c>
    </row>
    <row r="57" spans="1:15" x14ac:dyDescent="0.3">
      <c r="A57" t="s">
        <v>123</v>
      </c>
      <c r="B57" t="s">
        <v>67</v>
      </c>
      <c r="C57" t="s">
        <v>68</v>
      </c>
      <c r="E57" t="str">
        <f t="shared" si="3"/>
        <v>구매가 0원</v>
      </c>
      <c r="G57" s="3"/>
      <c r="H57" t="s">
        <v>123</v>
      </c>
      <c r="I57" t="s">
        <v>63</v>
      </c>
      <c r="J57" t="s">
        <v>49</v>
      </c>
      <c r="K57" t="s">
        <v>65</v>
      </c>
      <c r="M57" s="2">
        <f t="shared" si="4"/>
        <v>0</v>
      </c>
      <c r="O57" s="6" t="str">
        <f t="shared" si="2"/>
        <v>0원</v>
      </c>
    </row>
    <row r="58" spans="1:15" x14ac:dyDescent="0.3">
      <c r="A58" t="s">
        <v>124</v>
      </c>
      <c r="B58" t="s">
        <v>67</v>
      </c>
      <c r="C58" t="s">
        <v>68</v>
      </c>
      <c r="E58" t="str">
        <f t="shared" si="3"/>
        <v>구매가 0원</v>
      </c>
      <c r="G58" s="3"/>
      <c r="H58" t="s">
        <v>124</v>
      </c>
      <c r="I58" t="s">
        <v>63</v>
      </c>
      <c r="J58" t="s">
        <v>49</v>
      </c>
      <c r="K58" t="s">
        <v>65</v>
      </c>
      <c r="M58" s="2">
        <f t="shared" si="4"/>
        <v>0</v>
      </c>
      <c r="O58" s="6" t="str">
        <f t="shared" si="2"/>
        <v>0원</v>
      </c>
    </row>
    <row r="59" spans="1:15" x14ac:dyDescent="0.3">
      <c r="A59" t="s">
        <v>125</v>
      </c>
      <c r="B59" t="s">
        <v>67</v>
      </c>
      <c r="C59" t="s">
        <v>68</v>
      </c>
      <c r="E59" t="str">
        <f t="shared" si="3"/>
        <v>구매가 0원</v>
      </c>
      <c r="G59" s="3"/>
      <c r="H59" t="s">
        <v>125</v>
      </c>
      <c r="I59" t="s">
        <v>63</v>
      </c>
      <c r="J59" t="s">
        <v>49</v>
      </c>
      <c r="K59" t="s">
        <v>65</v>
      </c>
      <c r="M59" s="2">
        <f t="shared" si="4"/>
        <v>0</v>
      </c>
      <c r="O59" s="6" t="str">
        <f t="shared" si="2"/>
        <v>0원</v>
      </c>
    </row>
    <row r="60" spans="1:15" x14ac:dyDescent="0.3">
      <c r="A60" t="s">
        <v>126</v>
      </c>
      <c r="B60" t="s">
        <v>67</v>
      </c>
      <c r="C60" t="s">
        <v>68</v>
      </c>
      <c r="E60" t="str">
        <f t="shared" si="3"/>
        <v>구매가 0원</v>
      </c>
      <c r="G60" s="3"/>
      <c r="H60" t="s">
        <v>126</v>
      </c>
      <c r="I60" t="s">
        <v>63</v>
      </c>
      <c r="J60" t="s">
        <v>49</v>
      </c>
      <c r="K60" t="s">
        <v>65</v>
      </c>
      <c r="M60" s="2">
        <f t="shared" si="4"/>
        <v>0</v>
      </c>
      <c r="O60" s="6" t="str">
        <f t="shared" si="2"/>
        <v>0원</v>
      </c>
    </row>
    <row r="61" spans="1:15" x14ac:dyDescent="0.3">
      <c r="A61" t="s">
        <v>127</v>
      </c>
      <c r="B61" t="s">
        <v>67</v>
      </c>
      <c r="C61" t="s">
        <v>68</v>
      </c>
      <c r="E61" t="str">
        <f t="shared" si="3"/>
        <v>구매가 0원</v>
      </c>
      <c r="G61" s="3"/>
      <c r="H61" t="s">
        <v>127</v>
      </c>
      <c r="I61" t="s">
        <v>63</v>
      </c>
      <c r="J61" t="s">
        <v>49</v>
      </c>
      <c r="K61" t="s">
        <v>65</v>
      </c>
      <c r="M61" s="2">
        <f t="shared" si="4"/>
        <v>0</v>
      </c>
      <c r="O61" s="6" t="str">
        <f t="shared" si="2"/>
        <v>0원</v>
      </c>
    </row>
    <row r="62" spans="1:15" x14ac:dyDescent="0.3">
      <c r="A62" t="s">
        <v>128</v>
      </c>
      <c r="B62" t="s">
        <v>67</v>
      </c>
      <c r="C62" t="s">
        <v>68</v>
      </c>
      <c r="E62" t="str">
        <f t="shared" si="3"/>
        <v>구매가 0원</v>
      </c>
      <c r="G62" s="3"/>
      <c r="H62" t="s">
        <v>128</v>
      </c>
      <c r="I62" t="s">
        <v>63</v>
      </c>
      <c r="J62" t="s">
        <v>49</v>
      </c>
      <c r="K62" t="s">
        <v>65</v>
      </c>
      <c r="M62" s="2">
        <f t="shared" si="4"/>
        <v>0</v>
      </c>
      <c r="O62" s="6" t="str">
        <f t="shared" si="2"/>
        <v>0원</v>
      </c>
    </row>
    <row r="63" spans="1:15" x14ac:dyDescent="0.3">
      <c r="A63" t="s">
        <v>129</v>
      </c>
      <c r="B63" t="s">
        <v>67</v>
      </c>
      <c r="C63" t="s">
        <v>68</v>
      </c>
      <c r="E63" t="str">
        <f t="shared" si="3"/>
        <v>구매가 0원</v>
      </c>
      <c r="G63" s="3"/>
      <c r="H63" t="s">
        <v>129</v>
      </c>
      <c r="I63" t="s">
        <v>63</v>
      </c>
      <c r="J63" t="s">
        <v>49</v>
      </c>
      <c r="K63" t="s">
        <v>65</v>
      </c>
      <c r="M63" s="2">
        <f t="shared" si="4"/>
        <v>0</v>
      </c>
      <c r="O63" s="6" t="str">
        <f t="shared" si="2"/>
        <v>0원</v>
      </c>
    </row>
    <row r="64" spans="1:15" x14ac:dyDescent="0.3">
      <c r="A64" t="s">
        <v>130</v>
      </c>
      <c r="B64" t="s">
        <v>67</v>
      </c>
      <c r="C64" t="s">
        <v>68</v>
      </c>
      <c r="E64" t="str">
        <f t="shared" si="3"/>
        <v>구매가 0원</v>
      </c>
      <c r="G64" s="3"/>
      <c r="H64" t="s">
        <v>130</v>
      </c>
      <c r="I64" t="s">
        <v>63</v>
      </c>
      <c r="J64" t="s">
        <v>49</v>
      </c>
      <c r="K64" t="s">
        <v>65</v>
      </c>
      <c r="M64" s="2">
        <f t="shared" si="4"/>
        <v>0</v>
      </c>
      <c r="O64" s="6" t="str">
        <f t="shared" si="2"/>
        <v>0원</v>
      </c>
    </row>
    <row r="65" spans="1:15" x14ac:dyDescent="0.3">
      <c r="A65" t="s">
        <v>131</v>
      </c>
      <c r="B65" t="s">
        <v>67</v>
      </c>
      <c r="C65" t="s">
        <v>68</v>
      </c>
      <c r="E65" t="str">
        <f t="shared" si="3"/>
        <v>구매가 0원</v>
      </c>
      <c r="G65" s="3"/>
      <c r="H65" t="s">
        <v>131</v>
      </c>
      <c r="I65" t="s">
        <v>63</v>
      </c>
      <c r="J65" t="s">
        <v>49</v>
      </c>
      <c r="K65" t="s">
        <v>65</v>
      </c>
      <c r="M65" s="2">
        <f t="shared" si="4"/>
        <v>0</v>
      </c>
      <c r="O65" s="6" t="str">
        <f t="shared" si="2"/>
        <v>0원</v>
      </c>
    </row>
    <row r="66" spans="1:15" x14ac:dyDescent="0.3">
      <c r="A66" t="s">
        <v>132</v>
      </c>
      <c r="B66" t="s">
        <v>67</v>
      </c>
      <c r="C66" t="s">
        <v>68</v>
      </c>
      <c r="E66" t="str">
        <f t="shared" ref="E66:E101" si="5">"구매가 "&amp;TEXT(M66,"#,##0")&amp;"원"</f>
        <v>구매가 0원</v>
      </c>
      <c r="G66" s="3"/>
      <c r="H66" t="s">
        <v>132</v>
      </c>
      <c r="I66" t="s">
        <v>63</v>
      </c>
      <c r="J66" t="s">
        <v>49</v>
      </c>
      <c r="K66" t="s">
        <v>65</v>
      </c>
      <c r="M66" s="2">
        <f t="shared" ref="M66:M97" si="6">L66*200*9</f>
        <v>0</v>
      </c>
      <c r="O66" s="6" t="str">
        <f t="shared" si="2"/>
        <v>0원</v>
      </c>
    </row>
    <row r="67" spans="1:15" x14ac:dyDescent="0.3">
      <c r="A67" t="s">
        <v>133</v>
      </c>
      <c r="B67" t="s">
        <v>67</v>
      </c>
      <c r="C67" t="s">
        <v>68</v>
      </c>
      <c r="E67" t="str">
        <f t="shared" si="5"/>
        <v>구매가 0원</v>
      </c>
      <c r="G67" s="3"/>
      <c r="H67" t="s">
        <v>133</v>
      </c>
      <c r="I67" t="s">
        <v>63</v>
      </c>
      <c r="J67" t="s">
        <v>49</v>
      </c>
      <c r="K67" t="s">
        <v>65</v>
      </c>
      <c r="M67" s="2">
        <f t="shared" si="6"/>
        <v>0</v>
      </c>
      <c r="O67" s="6" t="str">
        <f t="shared" ref="O67:O101" si="7">P67*200&amp;"원"</f>
        <v>0원</v>
      </c>
    </row>
    <row r="68" spans="1:15" x14ac:dyDescent="0.3">
      <c r="A68" t="s">
        <v>134</v>
      </c>
      <c r="B68" t="s">
        <v>67</v>
      </c>
      <c r="C68" t="s">
        <v>68</v>
      </c>
      <c r="E68" t="str">
        <f t="shared" si="5"/>
        <v>구매가 0원</v>
      </c>
      <c r="G68" s="3"/>
      <c r="H68" t="s">
        <v>134</v>
      </c>
      <c r="I68" t="s">
        <v>63</v>
      </c>
      <c r="J68" t="s">
        <v>49</v>
      </c>
      <c r="K68" t="s">
        <v>65</v>
      </c>
      <c r="M68" s="2">
        <f t="shared" si="6"/>
        <v>0</v>
      </c>
      <c r="O68" s="6" t="str">
        <f t="shared" si="7"/>
        <v>0원</v>
      </c>
    </row>
    <row r="69" spans="1:15" x14ac:dyDescent="0.3">
      <c r="A69" t="s">
        <v>135</v>
      </c>
      <c r="B69" t="s">
        <v>67</v>
      </c>
      <c r="C69" t="s">
        <v>68</v>
      </c>
      <c r="E69" t="str">
        <f t="shared" si="5"/>
        <v>구매가 0원</v>
      </c>
      <c r="G69" s="3"/>
      <c r="H69" t="s">
        <v>135</v>
      </c>
      <c r="I69" t="s">
        <v>63</v>
      </c>
      <c r="J69" t="s">
        <v>49</v>
      </c>
      <c r="K69" t="s">
        <v>65</v>
      </c>
      <c r="M69" s="2">
        <f t="shared" si="6"/>
        <v>0</v>
      </c>
      <c r="O69" s="6" t="str">
        <f t="shared" si="7"/>
        <v>0원</v>
      </c>
    </row>
    <row r="70" spans="1:15" x14ac:dyDescent="0.3">
      <c r="A70" t="s">
        <v>136</v>
      </c>
      <c r="B70" t="s">
        <v>67</v>
      </c>
      <c r="C70" t="s">
        <v>68</v>
      </c>
      <c r="E70" t="str">
        <f t="shared" si="5"/>
        <v>구매가 0원</v>
      </c>
      <c r="G70" s="3"/>
      <c r="H70" t="s">
        <v>136</v>
      </c>
      <c r="I70" t="s">
        <v>63</v>
      </c>
      <c r="J70" t="s">
        <v>49</v>
      </c>
      <c r="K70" t="s">
        <v>65</v>
      </c>
      <c r="M70" s="2">
        <f t="shared" si="6"/>
        <v>0</v>
      </c>
      <c r="O70" s="6" t="str">
        <f t="shared" si="7"/>
        <v>0원</v>
      </c>
    </row>
    <row r="71" spans="1:15" x14ac:dyDescent="0.3">
      <c r="A71" t="s">
        <v>137</v>
      </c>
      <c r="B71" t="s">
        <v>67</v>
      </c>
      <c r="C71" t="s">
        <v>68</v>
      </c>
      <c r="E71" t="str">
        <f t="shared" si="5"/>
        <v>구매가 0원</v>
      </c>
      <c r="G71" s="3"/>
      <c r="H71" t="s">
        <v>137</v>
      </c>
      <c r="I71" t="s">
        <v>63</v>
      </c>
      <c r="J71" t="s">
        <v>49</v>
      </c>
      <c r="K71" t="s">
        <v>65</v>
      </c>
      <c r="M71" s="2">
        <f t="shared" si="6"/>
        <v>0</v>
      </c>
      <c r="O71" s="6" t="str">
        <f t="shared" si="7"/>
        <v>0원</v>
      </c>
    </row>
    <row r="72" spans="1:15" x14ac:dyDescent="0.3">
      <c r="A72" t="s">
        <v>138</v>
      </c>
      <c r="B72" t="s">
        <v>67</v>
      </c>
      <c r="C72" t="s">
        <v>68</v>
      </c>
      <c r="E72" t="str">
        <f t="shared" si="5"/>
        <v>구매가 0원</v>
      </c>
      <c r="G72" s="3"/>
      <c r="H72" t="s">
        <v>138</v>
      </c>
      <c r="I72" t="s">
        <v>63</v>
      </c>
      <c r="J72" t="s">
        <v>49</v>
      </c>
      <c r="K72" t="s">
        <v>65</v>
      </c>
      <c r="M72" s="2">
        <f t="shared" si="6"/>
        <v>0</v>
      </c>
      <c r="O72" s="6" t="str">
        <f t="shared" si="7"/>
        <v>0원</v>
      </c>
    </row>
    <row r="73" spans="1:15" x14ac:dyDescent="0.3">
      <c r="A73" t="s">
        <v>139</v>
      </c>
      <c r="B73" t="s">
        <v>67</v>
      </c>
      <c r="C73" t="s">
        <v>68</v>
      </c>
      <c r="E73" t="str">
        <f t="shared" si="5"/>
        <v>구매가 0원</v>
      </c>
      <c r="G73" s="3"/>
      <c r="H73" t="s">
        <v>139</v>
      </c>
      <c r="I73" t="s">
        <v>63</v>
      </c>
      <c r="J73" t="s">
        <v>49</v>
      </c>
      <c r="K73" t="s">
        <v>65</v>
      </c>
      <c r="M73" s="2">
        <f t="shared" si="6"/>
        <v>0</v>
      </c>
      <c r="O73" s="6" t="str">
        <f t="shared" si="7"/>
        <v>0원</v>
      </c>
    </row>
    <row r="74" spans="1:15" x14ac:dyDescent="0.3">
      <c r="A74" t="s">
        <v>140</v>
      </c>
      <c r="B74" t="s">
        <v>67</v>
      </c>
      <c r="C74" t="s">
        <v>68</v>
      </c>
      <c r="E74" t="str">
        <f t="shared" si="5"/>
        <v>구매가 0원</v>
      </c>
      <c r="G74" s="3"/>
      <c r="H74" t="s">
        <v>140</v>
      </c>
      <c r="I74" t="s">
        <v>63</v>
      </c>
      <c r="J74" t="s">
        <v>49</v>
      </c>
      <c r="K74" t="s">
        <v>65</v>
      </c>
      <c r="M74" s="2">
        <f t="shared" si="6"/>
        <v>0</v>
      </c>
      <c r="O74" s="6" t="str">
        <f t="shared" si="7"/>
        <v>0원</v>
      </c>
    </row>
    <row r="75" spans="1:15" x14ac:dyDescent="0.3">
      <c r="A75" t="s">
        <v>141</v>
      </c>
      <c r="B75" t="s">
        <v>67</v>
      </c>
      <c r="C75" t="s">
        <v>68</v>
      </c>
      <c r="E75" t="str">
        <f t="shared" si="5"/>
        <v>구매가 0원</v>
      </c>
      <c r="G75" s="3"/>
      <c r="H75" t="s">
        <v>141</v>
      </c>
      <c r="I75" t="s">
        <v>63</v>
      </c>
      <c r="J75" t="s">
        <v>49</v>
      </c>
      <c r="K75" t="s">
        <v>65</v>
      </c>
      <c r="M75" s="2">
        <f t="shared" si="6"/>
        <v>0</v>
      </c>
      <c r="O75" s="6" t="str">
        <f t="shared" si="7"/>
        <v>0원</v>
      </c>
    </row>
    <row r="76" spans="1:15" x14ac:dyDescent="0.3">
      <c r="A76" t="s">
        <v>142</v>
      </c>
      <c r="B76" t="s">
        <v>67</v>
      </c>
      <c r="C76" t="s">
        <v>68</v>
      </c>
      <c r="E76" t="str">
        <f t="shared" si="5"/>
        <v>구매가 0원</v>
      </c>
      <c r="G76" s="3"/>
      <c r="H76" t="s">
        <v>142</v>
      </c>
      <c r="I76" t="s">
        <v>63</v>
      </c>
      <c r="J76" t="s">
        <v>49</v>
      </c>
      <c r="K76" t="s">
        <v>65</v>
      </c>
      <c r="M76" s="2">
        <f t="shared" si="6"/>
        <v>0</v>
      </c>
      <c r="O76" s="6" t="str">
        <f t="shared" si="7"/>
        <v>0원</v>
      </c>
    </row>
    <row r="77" spans="1:15" x14ac:dyDescent="0.3">
      <c r="A77" t="s">
        <v>143</v>
      </c>
      <c r="B77" t="s">
        <v>67</v>
      </c>
      <c r="C77" t="s">
        <v>68</v>
      </c>
      <c r="E77" t="str">
        <f t="shared" si="5"/>
        <v>구매가 0원</v>
      </c>
      <c r="G77" s="3"/>
      <c r="H77" t="s">
        <v>143</v>
      </c>
      <c r="I77" t="s">
        <v>63</v>
      </c>
      <c r="J77" t="s">
        <v>49</v>
      </c>
      <c r="K77" t="s">
        <v>65</v>
      </c>
      <c r="M77" s="2">
        <f t="shared" si="6"/>
        <v>0</v>
      </c>
      <c r="O77" s="6" t="str">
        <f t="shared" si="7"/>
        <v>0원</v>
      </c>
    </row>
    <row r="78" spans="1:15" x14ac:dyDescent="0.3">
      <c r="A78" t="s">
        <v>144</v>
      </c>
      <c r="B78" t="s">
        <v>67</v>
      </c>
      <c r="C78" t="s">
        <v>68</v>
      </c>
      <c r="E78" t="str">
        <f t="shared" si="5"/>
        <v>구매가 0원</v>
      </c>
      <c r="G78" s="3"/>
      <c r="H78" t="s">
        <v>144</v>
      </c>
      <c r="I78" t="s">
        <v>63</v>
      </c>
      <c r="J78" t="s">
        <v>49</v>
      </c>
      <c r="K78" t="s">
        <v>65</v>
      </c>
      <c r="M78" s="2">
        <f t="shared" si="6"/>
        <v>0</v>
      </c>
      <c r="O78" s="6" t="str">
        <f t="shared" si="7"/>
        <v>0원</v>
      </c>
    </row>
    <row r="79" spans="1:15" x14ac:dyDescent="0.3">
      <c r="A79" t="s">
        <v>145</v>
      </c>
      <c r="B79" t="s">
        <v>67</v>
      </c>
      <c r="C79" t="s">
        <v>68</v>
      </c>
      <c r="E79" t="str">
        <f t="shared" si="5"/>
        <v>구매가 0원</v>
      </c>
      <c r="G79" s="3"/>
      <c r="H79" t="s">
        <v>145</v>
      </c>
      <c r="I79" t="s">
        <v>63</v>
      </c>
      <c r="J79" t="s">
        <v>49</v>
      </c>
      <c r="K79" t="s">
        <v>65</v>
      </c>
      <c r="M79" s="2">
        <f t="shared" si="6"/>
        <v>0</v>
      </c>
      <c r="O79" s="6" t="str">
        <f t="shared" si="7"/>
        <v>0원</v>
      </c>
    </row>
    <row r="80" spans="1:15" x14ac:dyDescent="0.3">
      <c r="A80" t="s">
        <v>146</v>
      </c>
      <c r="B80" t="s">
        <v>67</v>
      </c>
      <c r="C80" t="s">
        <v>68</v>
      </c>
      <c r="E80" t="str">
        <f t="shared" si="5"/>
        <v>구매가 0원</v>
      </c>
      <c r="G80" s="3"/>
      <c r="H80" t="s">
        <v>146</v>
      </c>
      <c r="I80" t="s">
        <v>63</v>
      </c>
      <c r="J80" t="s">
        <v>49</v>
      </c>
      <c r="K80" t="s">
        <v>65</v>
      </c>
      <c r="M80" s="2">
        <f t="shared" si="6"/>
        <v>0</v>
      </c>
      <c r="O80" s="6" t="str">
        <f t="shared" si="7"/>
        <v>0원</v>
      </c>
    </row>
    <row r="81" spans="1:15" x14ac:dyDescent="0.3">
      <c r="A81" t="s">
        <v>147</v>
      </c>
      <c r="B81" t="s">
        <v>67</v>
      </c>
      <c r="C81" t="s">
        <v>68</v>
      </c>
      <c r="E81" t="str">
        <f t="shared" si="5"/>
        <v>구매가 0원</v>
      </c>
      <c r="G81" s="3"/>
      <c r="H81" t="s">
        <v>147</v>
      </c>
      <c r="I81" t="s">
        <v>63</v>
      </c>
      <c r="J81" t="s">
        <v>49</v>
      </c>
      <c r="K81" t="s">
        <v>65</v>
      </c>
      <c r="M81" s="2">
        <f t="shared" si="6"/>
        <v>0</v>
      </c>
      <c r="O81" s="6" t="str">
        <f t="shared" si="7"/>
        <v>0원</v>
      </c>
    </row>
    <row r="82" spans="1:15" x14ac:dyDescent="0.3">
      <c r="A82" t="s">
        <v>148</v>
      </c>
      <c r="B82" t="s">
        <v>67</v>
      </c>
      <c r="C82" t="s">
        <v>68</v>
      </c>
      <c r="E82" t="str">
        <f t="shared" si="5"/>
        <v>구매가 0원</v>
      </c>
      <c r="G82" s="3"/>
      <c r="H82" t="s">
        <v>148</v>
      </c>
      <c r="I82" t="s">
        <v>63</v>
      </c>
      <c r="J82" t="s">
        <v>49</v>
      </c>
      <c r="K82" t="s">
        <v>65</v>
      </c>
      <c r="M82" s="2">
        <f t="shared" si="6"/>
        <v>0</v>
      </c>
      <c r="O82" s="6" t="str">
        <f t="shared" si="7"/>
        <v>0원</v>
      </c>
    </row>
    <row r="83" spans="1:15" x14ac:dyDescent="0.3">
      <c r="A83" t="s">
        <v>149</v>
      </c>
      <c r="B83" t="s">
        <v>67</v>
      </c>
      <c r="C83" t="s">
        <v>68</v>
      </c>
      <c r="E83" t="str">
        <f t="shared" si="5"/>
        <v>구매가 0원</v>
      </c>
      <c r="G83" s="3"/>
      <c r="H83" t="s">
        <v>149</v>
      </c>
      <c r="I83" t="s">
        <v>63</v>
      </c>
      <c r="J83" t="s">
        <v>49</v>
      </c>
      <c r="K83" t="s">
        <v>65</v>
      </c>
      <c r="M83" s="2">
        <f t="shared" si="6"/>
        <v>0</v>
      </c>
      <c r="O83" s="6" t="str">
        <f t="shared" si="7"/>
        <v>0원</v>
      </c>
    </row>
    <row r="84" spans="1:15" x14ac:dyDescent="0.3">
      <c r="A84" t="s">
        <v>150</v>
      </c>
      <c r="B84" t="s">
        <v>67</v>
      </c>
      <c r="C84" t="s">
        <v>68</v>
      </c>
      <c r="E84" t="str">
        <f t="shared" si="5"/>
        <v>구매가 0원</v>
      </c>
      <c r="G84" s="3"/>
      <c r="H84" t="s">
        <v>150</v>
      </c>
      <c r="I84" t="s">
        <v>63</v>
      </c>
      <c r="J84" t="s">
        <v>49</v>
      </c>
      <c r="K84" t="s">
        <v>65</v>
      </c>
      <c r="M84" s="2">
        <f t="shared" si="6"/>
        <v>0</v>
      </c>
      <c r="O84" s="6" t="str">
        <f t="shared" si="7"/>
        <v>0원</v>
      </c>
    </row>
    <row r="85" spans="1:15" x14ac:dyDescent="0.3">
      <c r="A85" t="s">
        <v>151</v>
      </c>
      <c r="B85" t="s">
        <v>67</v>
      </c>
      <c r="C85" t="s">
        <v>68</v>
      </c>
      <c r="E85" t="str">
        <f t="shared" si="5"/>
        <v>구매가 0원</v>
      </c>
      <c r="G85" s="3"/>
      <c r="H85" t="s">
        <v>151</v>
      </c>
      <c r="I85" t="s">
        <v>63</v>
      </c>
      <c r="J85" t="s">
        <v>49</v>
      </c>
      <c r="K85" t="s">
        <v>65</v>
      </c>
      <c r="M85" s="2">
        <f t="shared" si="6"/>
        <v>0</v>
      </c>
      <c r="O85" s="6" t="str">
        <f t="shared" si="7"/>
        <v>0원</v>
      </c>
    </row>
    <row r="86" spans="1:15" x14ac:dyDescent="0.3">
      <c r="A86" t="s">
        <v>152</v>
      </c>
      <c r="B86" t="s">
        <v>67</v>
      </c>
      <c r="C86" t="s">
        <v>68</v>
      </c>
      <c r="E86" t="str">
        <f t="shared" si="5"/>
        <v>구매가 0원</v>
      </c>
      <c r="G86" s="3"/>
      <c r="H86" t="s">
        <v>152</v>
      </c>
      <c r="I86" t="s">
        <v>63</v>
      </c>
      <c r="J86" t="s">
        <v>49</v>
      </c>
      <c r="K86" t="s">
        <v>65</v>
      </c>
      <c r="M86" s="2">
        <f t="shared" si="6"/>
        <v>0</v>
      </c>
      <c r="O86" s="6" t="str">
        <f t="shared" si="7"/>
        <v>0원</v>
      </c>
    </row>
    <row r="87" spans="1:15" x14ac:dyDescent="0.3">
      <c r="A87" t="s">
        <v>153</v>
      </c>
      <c r="B87" t="s">
        <v>67</v>
      </c>
      <c r="C87" t="s">
        <v>68</v>
      </c>
      <c r="E87" t="str">
        <f t="shared" si="5"/>
        <v>구매가 0원</v>
      </c>
      <c r="G87" s="3"/>
      <c r="H87" t="s">
        <v>153</v>
      </c>
      <c r="I87" t="s">
        <v>63</v>
      </c>
      <c r="J87" t="s">
        <v>49</v>
      </c>
      <c r="K87" t="s">
        <v>65</v>
      </c>
      <c r="M87" s="2">
        <f t="shared" si="6"/>
        <v>0</v>
      </c>
      <c r="O87" s="6" t="str">
        <f t="shared" si="7"/>
        <v>0원</v>
      </c>
    </row>
    <row r="88" spans="1:15" x14ac:dyDescent="0.3">
      <c r="A88" t="s">
        <v>154</v>
      </c>
      <c r="B88" t="s">
        <v>67</v>
      </c>
      <c r="C88" t="s">
        <v>68</v>
      </c>
      <c r="E88" t="str">
        <f t="shared" si="5"/>
        <v>구매가 0원</v>
      </c>
      <c r="G88" s="3"/>
      <c r="H88" t="s">
        <v>154</v>
      </c>
      <c r="I88" t="s">
        <v>63</v>
      </c>
      <c r="J88" t="s">
        <v>49</v>
      </c>
      <c r="K88" t="s">
        <v>65</v>
      </c>
      <c r="M88" s="2">
        <f t="shared" si="6"/>
        <v>0</v>
      </c>
      <c r="O88" s="6" t="str">
        <f t="shared" si="7"/>
        <v>0원</v>
      </c>
    </row>
    <row r="89" spans="1:15" x14ac:dyDescent="0.3">
      <c r="A89" t="s">
        <v>155</v>
      </c>
      <c r="B89" t="s">
        <v>67</v>
      </c>
      <c r="C89" t="s">
        <v>68</v>
      </c>
      <c r="E89" t="str">
        <f t="shared" si="5"/>
        <v>구매가 0원</v>
      </c>
      <c r="G89" s="3"/>
      <c r="H89" t="s">
        <v>155</v>
      </c>
      <c r="I89" t="s">
        <v>63</v>
      </c>
      <c r="J89" t="s">
        <v>49</v>
      </c>
      <c r="K89" t="s">
        <v>65</v>
      </c>
      <c r="M89" s="2">
        <f t="shared" si="6"/>
        <v>0</v>
      </c>
      <c r="O89" s="6" t="str">
        <f t="shared" si="7"/>
        <v>0원</v>
      </c>
    </row>
    <row r="90" spans="1:15" x14ac:dyDescent="0.3">
      <c r="A90" t="s">
        <v>156</v>
      </c>
      <c r="B90" t="s">
        <v>67</v>
      </c>
      <c r="C90" t="s">
        <v>68</v>
      </c>
      <c r="E90" t="str">
        <f t="shared" si="5"/>
        <v>구매가 0원</v>
      </c>
      <c r="G90" s="3"/>
      <c r="H90" t="s">
        <v>156</v>
      </c>
      <c r="I90" t="s">
        <v>63</v>
      </c>
      <c r="J90" t="s">
        <v>49</v>
      </c>
      <c r="K90" t="s">
        <v>65</v>
      </c>
      <c r="M90" s="2">
        <f t="shared" si="6"/>
        <v>0</v>
      </c>
      <c r="O90" s="6" t="str">
        <f t="shared" si="7"/>
        <v>0원</v>
      </c>
    </row>
    <row r="91" spans="1:15" x14ac:dyDescent="0.3">
      <c r="A91" t="s">
        <v>157</v>
      </c>
      <c r="B91" t="s">
        <v>67</v>
      </c>
      <c r="C91" t="s">
        <v>68</v>
      </c>
      <c r="E91" t="str">
        <f t="shared" si="5"/>
        <v>구매가 0원</v>
      </c>
      <c r="G91" s="3"/>
      <c r="H91" t="s">
        <v>157</v>
      </c>
      <c r="I91" t="s">
        <v>63</v>
      </c>
      <c r="J91" t="s">
        <v>49</v>
      </c>
      <c r="K91" t="s">
        <v>65</v>
      </c>
      <c r="M91" s="2">
        <f t="shared" si="6"/>
        <v>0</v>
      </c>
      <c r="O91" s="6" t="str">
        <f t="shared" si="7"/>
        <v>0원</v>
      </c>
    </row>
    <row r="92" spans="1:15" x14ac:dyDescent="0.3">
      <c r="A92" t="s">
        <v>158</v>
      </c>
      <c r="B92" t="s">
        <v>67</v>
      </c>
      <c r="C92" t="s">
        <v>68</v>
      </c>
      <c r="E92" t="str">
        <f t="shared" si="5"/>
        <v>구매가 0원</v>
      </c>
      <c r="G92" s="3"/>
      <c r="H92" t="s">
        <v>158</v>
      </c>
      <c r="I92" t="s">
        <v>63</v>
      </c>
      <c r="J92" t="s">
        <v>49</v>
      </c>
      <c r="K92" t="s">
        <v>65</v>
      </c>
      <c r="M92" s="2">
        <f t="shared" si="6"/>
        <v>0</v>
      </c>
      <c r="O92" s="6" t="str">
        <f t="shared" si="7"/>
        <v>0원</v>
      </c>
    </row>
    <row r="93" spans="1:15" x14ac:dyDescent="0.3">
      <c r="A93" t="s">
        <v>159</v>
      </c>
      <c r="B93" t="s">
        <v>67</v>
      </c>
      <c r="C93" t="s">
        <v>68</v>
      </c>
      <c r="E93" t="str">
        <f t="shared" si="5"/>
        <v>구매가 0원</v>
      </c>
      <c r="G93" s="3"/>
      <c r="H93" t="s">
        <v>159</v>
      </c>
      <c r="I93" t="s">
        <v>63</v>
      </c>
      <c r="J93" t="s">
        <v>49</v>
      </c>
      <c r="K93" t="s">
        <v>65</v>
      </c>
      <c r="M93" s="2">
        <f t="shared" si="6"/>
        <v>0</v>
      </c>
      <c r="O93" s="6" t="str">
        <f t="shared" si="7"/>
        <v>0원</v>
      </c>
    </row>
    <row r="94" spans="1:15" x14ac:dyDescent="0.3">
      <c r="A94" t="s">
        <v>160</v>
      </c>
      <c r="B94" t="s">
        <v>67</v>
      </c>
      <c r="C94" t="s">
        <v>68</v>
      </c>
      <c r="E94" t="str">
        <f t="shared" si="5"/>
        <v>구매가 0원</v>
      </c>
      <c r="G94" s="3"/>
      <c r="H94" t="s">
        <v>160</v>
      </c>
      <c r="I94" t="s">
        <v>63</v>
      </c>
      <c r="J94" t="s">
        <v>49</v>
      </c>
      <c r="K94" t="s">
        <v>65</v>
      </c>
      <c r="M94" s="2">
        <f t="shared" si="6"/>
        <v>0</v>
      </c>
      <c r="O94" s="6" t="str">
        <f t="shared" si="7"/>
        <v>0원</v>
      </c>
    </row>
    <row r="95" spans="1:15" x14ac:dyDescent="0.3">
      <c r="A95" t="s">
        <v>161</v>
      </c>
      <c r="B95" t="s">
        <v>67</v>
      </c>
      <c r="C95" t="s">
        <v>68</v>
      </c>
      <c r="E95" t="str">
        <f t="shared" si="5"/>
        <v>구매가 0원</v>
      </c>
      <c r="G95" s="3"/>
      <c r="H95" t="s">
        <v>161</v>
      </c>
      <c r="I95" t="s">
        <v>63</v>
      </c>
      <c r="J95" t="s">
        <v>49</v>
      </c>
      <c r="K95" t="s">
        <v>65</v>
      </c>
      <c r="M95" s="2">
        <f t="shared" si="6"/>
        <v>0</v>
      </c>
      <c r="O95" s="6" t="str">
        <f t="shared" si="7"/>
        <v>0원</v>
      </c>
    </row>
    <row r="96" spans="1:15" x14ac:dyDescent="0.3">
      <c r="A96" t="s">
        <v>162</v>
      </c>
      <c r="B96" t="s">
        <v>67</v>
      </c>
      <c r="C96" t="s">
        <v>68</v>
      </c>
      <c r="E96" t="str">
        <f t="shared" si="5"/>
        <v>구매가 0원</v>
      </c>
      <c r="G96" s="3"/>
      <c r="H96" t="s">
        <v>162</v>
      </c>
      <c r="I96" t="s">
        <v>63</v>
      </c>
      <c r="J96" t="s">
        <v>49</v>
      </c>
      <c r="K96" t="s">
        <v>65</v>
      </c>
      <c r="M96" s="2">
        <f t="shared" si="6"/>
        <v>0</v>
      </c>
      <c r="O96" s="6" t="str">
        <f t="shared" si="7"/>
        <v>0원</v>
      </c>
    </row>
    <row r="97" spans="1:15" x14ac:dyDescent="0.3">
      <c r="A97" t="s">
        <v>163</v>
      </c>
      <c r="B97" t="s">
        <v>67</v>
      </c>
      <c r="C97" t="s">
        <v>68</v>
      </c>
      <c r="E97" t="str">
        <f t="shared" si="5"/>
        <v>구매가 0원</v>
      </c>
      <c r="G97" s="3"/>
      <c r="H97" t="s">
        <v>163</v>
      </c>
      <c r="I97" t="s">
        <v>63</v>
      </c>
      <c r="J97" t="s">
        <v>49</v>
      </c>
      <c r="K97" t="s">
        <v>65</v>
      </c>
      <c r="M97" s="2">
        <f t="shared" si="6"/>
        <v>0</v>
      </c>
      <c r="O97" s="6" t="str">
        <f t="shared" si="7"/>
        <v>0원</v>
      </c>
    </row>
    <row r="98" spans="1:15" x14ac:dyDescent="0.3">
      <c r="A98" t="s">
        <v>164</v>
      </c>
      <c r="B98" t="s">
        <v>67</v>
      </c>
      <c r="C98" t="s">
        <v>68</v>
      </c>
      <c r="E98" t="str">
        <f t="shared" si="5"/>
        <v>구매가 0원</v>
      </c>
      <c r="G98" s="3"/>
      <c r="H98" t="s">
        <v>164</v>
      </c>
      <c r="I98" t="s">
        <v>63</v>
      </c>
      <c r="J98" t="s">
        <v>49</v>
      </c>
      <c r="K98" t="s">
        <v>65</v>
      </c>
      <c r="M98" s="2">
        <f t="shared" ref="M98:M101" si="8">L98*200*9</f>
        <v>0</v>
      </c>
      <c r="O98" s="6" t="str">
        <f t="shared" si="7"/>
        <v>0원</v>
      </c>
    </row>
    <row r="99" spans="1:15" x14ac:dyDescent="0.3">
      <c r="A99" t="s">
        <v>165</v>
      </c>
      <c r="B99" t="s">
        <v>67</v>
      </c>
      <c r="C99" t="s">
        <v>68</v>
      </c>
      <c r="E99" t="str">
        <f t="shared" si="5"/>
        <v>구매가 0원</v>
      </c>
      <c r="G99" s="3"/>
      <c r="H99" t="s">
        <v>165</v>
      </c>
      <c r="I99" t="s">
        <v>63</v>
      </c>
      <c r="J99" t="s">
        <v>49</v>
      </c>
      <c r="K99" t="s">
        <v>65</v>
      </c>
      <c r="M99" s="2">
        <f t="shared" si="8"/>
        <v>0</v>
      </c>
      <c r="O99" s="6" t="str">
        <f t="shared" si="7"/>
        <v>0원</v>
      </c>
    </row>
    <row r="100" spans="1:15" x14ac:dyDescent="0.3">
      <c r="A100" t="s">
        <v>166</v>
      </c>
      <c r="B100" t="s">
        <v>67</v>
      </c>
      <c r="C100" t="s">
        <v>68</v>
      </c>
      <c r="E100" t="str">
        <f t="shared" si="5"/>
        <v>구매가 0원</v>
      </c>
      <c r="G100" s="3"/>
      <c r="H100" t="s">
        <v>166</v>
      </c>
      <c r="I100" t="s">
        <v>63</v>
      </c>
      <c r="J100" t="s">
        <v>49</v>
      </c>
      <c r="K100" t="s">
        <v>65</v>
      </c>
      <c r="M100" s="2">
        <f t="shared" si="8"/>
        <v>0</v>
      </c>
      <c r="O100" s="6" t="str">
        <f t="shared" si="7"/>
        <v>0원</v>
      </c>
    </row>
    <row r="101" spans="1:15" x14ac:dyDescent="0.3">
      <c r="A101" t="s">
        <v>167</v>
      </c>
      <c r="B101" t="s">
        <v>67</v>
      </c>
      <c r="C101" t="s">
        <v>68</v>
      </c>
      <c r="E101" t="str">
        <f t="shared" si="5"/>
        <v>구매가 0원</v>
      </c>
      <c r="G101" s="3"/>
      <c r="H101" t="s">
        <v>167</v>
      </c>
      <c r="I101" t="s">
        <v>63</v>
      </c>
      <c r="J101" t="s">
        <v>49</v>
      </c>
      <c r="K101" t="s">
        <v>65</v>
      </c>
      <c r="M101" s="2">
        <f t="shared" si="8"/>
        <v>0</v>
      </c>
      <c r="O101" s="6" t="str">
        <f t="shared" si="7"/>
        <v>0원</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2800-0644-4882-BAC8-75F451EEFED8}">
  <dimension ref="A1:P101"/>
  <sheetViews>
    <sheetView workbookViewId="0">
      <pane ySplit="1" topLeftCell="A14" activePane="bottomLeft" state="frozen"/>
      <selection pane="bottomLeft" activeCell="D16" sqref="D16"/>
    </sheetView>
  </sheetViews>
  <sheetFormatPr defaultRowHeight="16.5" x14ac:dyDescent="0.3"/>
  <cols>
    <col min="5" max="5" width="16.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s="6" t="s">
        <v>383</v>
      </c>
      <c r="P1" t="s">
        <v>384</v>
      </c>
    </row>
    <row r="2" spans="1:16" ht="50.1" customHeight="1" x14ac:dyDescent="0.3">
      <c r="A2" t="s">
        <v>270</v>
      </c>
      <c r="B2" t="s">
        <v>271</v>
      </c>
      <c r="C2" t="s">
        <v>64</v>
      </c>
      <c r="D2" t="s">
        <v>377</v>
      </c>
      <c r="E2" t="str">
        <f t="shared" ref="E2:E33" si="0">"구매가 "&amp;TEXT(M2,"#,##0")&amp;"원"</f>
        <v>구매가 180,000원</v>
      </c>
      <c r="G2" s="4" t="s">
        <v>372</v>
      </c>
      <c r="H2" t="s">
        <v>270</v>
      </c>
      <c r="I2" t="s">
        <v>373</v>
      </c>
      <c r="J2" t="s">
        <v>375</v>
      </c>
      <c r="K2" t="s">
        <v>371</v>
      </c>
      <c r="L2">
        <v>100</v>
      </c>
      <c r="M2" s="2">
        <f t="shared" ref="M2:M33" si="1">L2*200*9</f>
        <v>180000</v>
      </c>
      <c r="O2" s="6" t="str">
        <f t="shared" ref="O2:O33" si="2">P2*200&amp;"원"</f>
        <v>31000원</v>
      </c>
      <c r="P2">
        <v>155</v>
      </c>
    </row>
    <row r="3" spans="1:16" ht="50.1" customHeight="1" x14ac:dyDescent="0.3">
      <c r="A3" t="s">
        <v>272</v>
      </c>
      <c r="B3" t="s">
        <v>271</v>
      </c>
      <c r="C3" t="s">
        <v>64</v>
      </c>
      <c r="D3" t="s">
        <v>376</v>
      </c>
      <c r="E3" t="str">
        <f t="shared" si="0"/>
        <v>구매가 216,000원</v>
      </c>
      <c r="G3" s="5" t="s">
        <v>378</v>
      </c>
      <c r="H3" t="s">
        <v>272</v>
      </c>
      <c r="I3" t="s">
        <v>374</v>
      </c>
      <c r="J3" t="s">
        <v>375</v>
      </c>
      <c r="K3" t="s">
        <v>371</v>
      </c>
      <c r="L3">
        <v>120</v>
      </c>
      <c r="M3" s="2">
        <f t="shared" si="1"/>
        <v>216000</v>
      </c>
      <c r="O3" s="6" t="str">
        <f t="shared" si="2"/>
        <v>33000원</v>
      </c>
      <c r="P3">
        <v>165</v>
      </c>
    </row>
    <row r="4" spans="1:16" ht="50.1" customHeight="1" x14ac:dyDescent="0.3">
      <c r="A4" t="s">
        <v>273</v>
      </c>
      <c r="B4" t="s">
        <v>271</v>
      </c>
      <c r="C4" t="s">
        <v>64</v>
      </c>
      <c r="D4" t="s">
        <v>379</v>
      </c>
      <c r="E4" t="str">
        <f t="shared" si="0"/>
        <v>구매가 360,000원</v>
      </c>
      <c r="G4" s="5" t="s">
        <v>380</v>
      </c>
      <c r="H4" t="s">
        <v>273</v>
      </c>
      <c r="I4" t="s">
        <v>381</v>
      </c>
      <c r="J4" t="s">
        <v>375</v>
      </c>
      <c r="K4" t="s">
        <v>371</v>
      </c>
      <c r="L4">
        <v>200</v>
      </c>
      <c r="M4" s="2">
        <f t="shared" si="1"/>
        <v>360000</v>
      </c>
      <c r="O4" s="6" t="str">
        <f t="shared" si="2"/>
        <v>31000원</v>
      </c>
      <c r="P4">
        <v>155</v>
      </c>
    </row>
    <row r="5" spans="1:16" ht="50.1" customHeight="1" x14ac:dyDescent="0.3">
      <c r="A5" t="s">
        <v>274</v>
      </c>
      <c r="B5" t="s">
        <v>271</v>
      </c>
      <c r="C5" t="s">
        <v>64</v>
      </c>
      <c r="D5" t="s">
        <v>385</v>
      </c>
      <c r="E5" t="str">
        <f t="shared" si="0"/>
        <v>구매가 216,000원</v>
      </c>
      <c r="G5" s="5" t="s">
        <v>386</v>
      </c>
      <c r="H5" t="s">
        <v>274</v>
      </c>
      <c r="I5" t="s">
        <v>390</v>
      </c>
      <c r="J5" t="s">
        <v>375</v>
      </c>
      <c r="K5" t="s">
        <v>371</v>
      </c>
      <c r="L5">
        <v>120</v>
      </c>
      <c r="M5" s="2">
        <f t="shared" si="1"/>
        <v>216000</v>
      </c>
      <c r="O5" s="6" t="str">
        <f t="shared" si="2"/>
        <v>28000원</v>
      </c>
      <c r="P5">
        <v>140</v>
      </c>
    </row>
    <row r="6" spans="1:16" ht="50.1" customHeight="1" x14ac:dyDescent="0.3">
      <c r="A6" t="s">
        <v>275</v>
      </c>
      <c r="B6" t="s">
        <v>271</v>
      </c>
      <c r="C6" t="s">
        <v>64</v>
      </c>
      <c r="D6" t="s">
        <v>387</v>
      </c>
      <c r="E6" t="str">
        <f t="shared" si="0"/>
        <v>구매가 117,000원</v>
      </c>
      <c r="G6" s="5" t="s">
        <v>388</v>
      </c>
      <c r="H6" t="s">
        <v>275</v>
      </c>
      <c r="I6" t="s">
        <v>389</v>
      </c>
      <c r="J6" t="s">
        <v>375</v>
      </c>
      <c r="K6" t="s">
        <v>371</v>
      </c>
      <c r="L6">
        <v>65</v>
      </c>
      <c r="M6" s="2">
        <f t="shared" si="1"/>
        <v>117000</v>
      </c>
      <c r="O6" s="6" t="str">
        <f t="shared" si="2"/>
        <v>20000원</v>
      </c>
      <c r="P6">
        <v>100</v>
      </c>
    </row>
    <row r="7" spans="1:16" ht="50.1" customHeight="1" x14ac:dyDescent="0.3">
      <c r="A7" s="8" t="s">
        <v>276</v>
      </c>
      <c r="B7" t="s">
        <v>271</v>
      </c>
      <c r="C7" t="s">
        <v>64</v>
      </c>
      <c r="D7" t="s">
        <v>391</v>
      </c>
      <c r="E7" t="str">
        <f t="shared" si="0"/>
        <v>구매가 108,000원</v>
      </c>
      <c r="G7" s="5" t="s">
        <v>392</v>
      </c>
      <c r="H7" t="s">
        <v>276</v>
      </c>
      <c r="J7" t="s">
        <v>49</v>
      </c>
      <c r="K7" t="s">
        <v>371</v>
      </c>
      <c r="L7">
        <v>60</v>
      </c>
      <c r="M7" s="2">
        <f t="shared" si="1"/>
        <v>108000</v>
      </c>
      <c r="O7" s="6" t="str">
        <f t="shared" si="2"/>
        <v>16000원</v>
      </c>
      <c r="P7">
        <v>80</v>
      </c>
    </row>
    <row r="8" spans="1:16" ht="50.1" customHeight="1" x14ac:dyDescent="0.3">
      <c r="A8" t="s">
        <v>277</v>
      </c>
      <c r="B8" t="s">
        <v>271</v>
      </c>
      <c r="C8" t="s">
        <v>64</v>
      </c>
      <c r="D8" t="s">
        <v>439</v>
      </c>
      <c r="E8" t="str">
        <f t="shared" si="0"/>
        <v>구매가 288,000원</v>
      </c>
      <c r="G8" t="s">
        <v>447</v>
      </c>
      <c r="H8" t="s">
        <v>277</v>
      </c>
      <c r="I8" t="s">
        <v>440</v>
      </c>
      <c r="J8" t="s">
        <v>441</v>
      </c>
      <c r="K8" t="s">
        <v>371</v>
      </c>
      <c r="L8">
        <v>160</v>
      </c>
      <c r="M8" s="2">
        <f t="shared" si="1"/>
        <v>288000</v>
      </c>
      <c r="O8" s="6" t="str">
        <f t="shared" si="2"/>
        <v>76000원</v>
      </c>
      <c r="P8">
        <v>380</v>
      </c>
    </row>
    <row r="9" spans="1:16" ht="50.1" customHeight="1" x14ac:dyDescent="0.3">
      <c r="A9" t="s">
        <v>278</v>
      </c>
      <c r="B9" t="s">
        <v>271</v>
      </c>
      <c r="C9" t="s">
        <v>64</v>
      </c>
      <c r="D9" t="s">
        <v>442</v>
      </c>
      <c r="E9" t="str">
        <f t="shared" si="0"/>
        <v>구매가 288,000원</v>
      </c>
      <c r="G9" t="s">
        <v>446</v>
      </c>
      <c r="H9" t="s">
        <v>278</v>
      </c>
      <c r="J9" t="s">
        <v>49</v>
      </c>
      <c r="K9" t="s">
        <v>371</v>
      </c>
      <c r="L9">
        <v>160</v>
      </c>
      <c r="M9" s="2">
        <f t="shared" si="1"/>
        <v>288000</v>
      </c>
      <c r="O9" s="6" t="str">
        <f t="shared" si="2"/>
        <v>72000원</v>
      </c>
      <c r="P9">
        <v>360</v>
      </c>
    </row>
    <row r="10" spans="1:16" ht="50.1" customHeight="1" x14ac:dyDescent="0.3">
      <c r="A10" s="8" t="s">
        <v>279</v>
      </c>
      <c r="B10" t="s">
        <v>271</v>
      </c>
      <c r="C10" t="s">
        <v>64</v>
      </c>
      <c r="D10" t="s">
        <v>444</v>
      </c>
      <c r="E10" t="str">
        <f t="shared" si="0"/>
        <v>구매가 288,000원</v>
      </c>
      <c r="G10" t="s">
        <v>445</v>
      </c>
      <c r="H10" t="s">
        <v>279</v>
      </c>
      <c r="I10" t="s">
        <v>443</v>
      </c>
      <c r="J10" t="s">
        <v>49</v>
      </c>
      <c r="K10" t="s">
        <v>371</v>
      </c>
      <c r="L10">
        <v>160</v>
      </c>
      <c r="M10" s="2">
        <f t="shared" si="1"/>
        <v>288000</v>
      </c>
      <c r="O10" s="6" t="str">
        <f t="shared" si="2"/>
        <v>76000원</v>
      </c>
      <c r="P10">
        <v>380</v>
      </c>
    </row>
    <row r="11" spans="1:16" ht="50.1" customHeight="1" x14ac:dyDescent="0.3">
      <c r="A11" t="s">
        <v>280</v>
      </c>
      <c r="B11" t="s">
        <v>271</v>
      </c>
      <c r="C11" t="s">
        <v>64</v>
      </c>
      <c r="D11" t="s">
        <v>484</v>
      </c>
      <c r="E11" t="str">
        <f t="shared" si="0"/>
        <v>구매가 298,800원</v>
      </c>
      <c r="G11" s="5" t="s">
        <v>485</v>
      </c>
      <c r="H11" t="s">
        <v>280</v>
      </c>
      <c r="J11" t="s">
        <v>49</v>
      </c>
      <c r="K11" t="s">
        <v>371</v>
      </c>
      <c r="L11">
        <v>166</v>
      </c>
      <c r="M11" s="2">
        <f t="shared" si="1"/>
        <v>298800</v>
      </c>
      <c r="O11" s="6" t="str">
        <f t="shared" si="2"/>
        <v>84000원</v>
      </c>
      <c r="P11" s="1">
        <v>420</v>
      </c>
    </row>
    <row r="12" spans="1:16" ht="50.1" customHeight="1" x14ac:dyDescent="0.3">
      <c r="A12" t="s">
        <v>281</v>
      </c>
      <c r="B12" t="s">
        <v>271</v>
      </c>
      <c r="C12" t="s">
        <v>64</v>
      </c>
      <c r="D12" t="s">
        <v>489</v>
      </c>
      <c r="E12" t="str">
        <f t="shared" si="0"/>
        <v>구매가 298,800원</v>
      </c>
      <c r="G12" s="5" t="s">
        <v>490</v>
      </c>
      <c r="H12" t="s">
        <v>281</v>
      </c>
      <c r="J12" t="s">
        <v>49</v>
      </c>
      <c r="K12" t="s">
        <v>371</v>
      </c>
      <c r="L12">
        <v>166</v>
      </c>
      <c r="M12" s="2">
        <f t="shared" si="1"/>
        <v>298800</v>
      </c>
      <c r="O12" s="6" t="e">
        <f t="shared" si="2"/>
        <v>#VALUE!</v>
      </c>
      <c r="P12" s="1" t="s">
        <v>486</v>
      </c>
    </row>
    <row r="13" spans="1:16" ht="50.1" customHeight="1" x14ac:dyDescent="0.3">
      <c r="A13" t="s">
        <v>282</v>
      </c>
      <c r="B13" t="s">
        <v>271</v>
      </c>
      <c r="C13" t="s">
        <v>64</v>
      </c>
      <c r="D13" t="s">
        <v>487</v>
      </c>
      <c r="E13" t="str">
        <f t="shared" si="0"/>
        <v>구매가 298,800원</v>
      </c>
      <c r="G13" s="5" t="s">
        <v>488</v>
      </c>
      <c r="H13" t="s">
        <v>282</v>
      </c>
      <c r="J13" t="s">
        <v>49</v>
      </c>
      <c r="K13" t="s">
        <v>371</v>
      </c>
      <c r="L13">
        <v>166</v>
      </c>
      <c r="M13" s="2">
        <f t="shared" si="1"/>
        <v>298800</v>
      </c>
      <c r="O13" s="6" t="e">
        <f t="shared" si="2"/>
        <v>#VALUE!</v>
      </c>
      <c r="P13" s="1" t="s">
        <v>486</v>
      </c>
    </row>
    <row r="14" spans="1:16" ht="50.1" customHeight="1" x14ac:dyDescent="0.3">
      <c r="A14" t="s">
        <v>283</v>
      </c>
      <c r="B14" t="s">
        <v>271</v>
      </c>
      <c r="C14" t="s">
        <v>64</v>
      </c>
      <c r="D14" t="s">
        <v>491</v>
      </c>
      <c r="E14" t="str">
        <f t="shared" si="0"/>
        <v>구매가 149,400원</v>
      </c>
      <c r="G14" s="5" t="s">
        <v>492</v>
      </c>
      <c r="H14" t="s">
        <v>283</v>
      </c>
      <c r="J14" t="s">
        <v>49</v>
      </c>
      <c r="K14" t="s">
        <v>371</v>
      </c>
      <c r="L14">
        <v>83</v>
      </c>
      <c r="M14" s="2">
        <f t="shared" si="1"/>
        <v>149400</v>
      </c>
      <c r="O14" s="6" t="e">
        <f t="shared" si="2"/>
        <v>#VALUE!</v>
      </c>
      <c r="P14" s="1" t="s">
        <v>486</v>
      </c>
    </row>
    <row r="15" spans="1:16" ht="50.1" customHeight="1" x14ac:dyDescent="0.3">
      <c r="A15" s="7" t="s">
        <v>284</v>
      </c>
      <c r="B15" t="s">
        <v>271</v>
      </c>
      <c r="C15" t="s">
        <v>64</v>
      </c>
      <c r="D15" t="s">
        <v>493</v>
      </c>
      <c r="E15" t="str">
        <f t="shared" si="0"/>
        <v>구매가 298,800원</v>
      </c>
      <c r="G15" s="5" t="s">
        <v>493</v>
      </c>
      <c r="H15" t="s">
        <v>284</v>
      </c>
      <c r="I15" t="s">
        <v>382</v>
      </c>
      <c r="J15" t="s">
        <v>49</v>
      </c>
      <c r="K15" t="s">
        <v>371</v>
      </c>
      <c r="L15">
        <v>166</v>
      </c>
      <c r="M15" s="2">
        <f t="shared" si="1"/>
        <v>298800</v>
      </c>
      <c r="O15" s="6" t="e">
        <f t="shared" si="2"/>
        <v>#VALUE!</v>
      </c>
      <c r="P15" s="1" t="s">
        <v>486</v>
      </c>
    </row>
    <row r="16" spans="1:16" ht="50.1" customHeight="1" x14ac:dyDescent="0.3">
      <c r="A16" t="s">
        <v>285</v>
      </c>
      <c r="B16" t="s">
        <v>271</v>
      </c>
      <c r="C16" t="s">
        <v>64</v>
      </c>
      <c r="E16" t="str">
        <f t="shared" si="0"/>
        <v>구매가 0원</v>
      </c>
      <c r="G16" s="4"/>
      <c r="H16" t="s">
        <v>285</v>
      </c>
      <c r="I16" t="s">
        <v>382</v>
      </c>
      <c r="J16" t="s">
        <v>49</v>
      </c>
      <c r="K16" t="s">
        <v>65</v>
      </c>
      <c r="M16" s="2">
        <f t="shared" si="1"/>
        <v>0</v>
      </c>
      <c r="O16" s="6" t="str">
        <f t="shared" si="2"/>
        <v>0원</v>
      </c>
    </row>
    <row r="17" spans="1:15" ht="50.1" customHeight="1" x14ac:dyDescent="0.3">
      <c r="A17" t="s">
        <v>286</v>
      </c>
      <c r="B17" t="s">
        <v>271</v>
      </c>
      <c r="C17" t="s">
        <v>64</v>
      </c>
      <c r="E17" t="str">
        <f t="shared" si="0"/>
        <v>구매가 0원</v>
      </c>
      <c r="G17" s="3"/>
      <c r="H17" t="s">
        <v>286</v>
      </c>
      <c r="I17" t="s">
        <v>382</v>
      </c>
      <c r="J17" t="s">
        <v>49</v>
      </c>
      <c r="K17" t="s">
        <v>65</v>
      </c>
      <c r="M17" s="2">
        <f t="shared" si="1"/>
        <v>0</v>
      </c>
      <c r="O17" s="6" t="str">
        <f t="shared" si="2"/>
        <v>0원</v>
      </c>
    </row>
    <row r="18" spans="1:15" ht="50.1" customHeight="1" x14ac:dyDescent="0.3">
      <c r="A18" t="s">
        <v>287</v>
      </c>
      <c r="B18" t="s">
        <v>271</v>
      </c>
      <c r="C18" t="s">
        <v>64</v>
      </c>
      <c r="E18" t="str">
        <f t="shared" si="0"/>
        <v>구매가 0원</v>
      </c>
      <c r="G18" s="3"/>
      <c r="H18" t="s">
        <v>287</v>
      </c>
      <c r="I18" t="s">
        <v>382</v>
      </c>
      <c r="J18" t="s">
        <v>49</v>
      </c>
      <c r="K18" t="s">
        <v>65</v>
      </c>
      <c r="M18" s="2">
        <f t="shared" si="1"/>
        <v>0</v>
      </c>
      <c r="O18" s="6" t="str">
        <f t="shared" si="2"/>
        <v>0원</v>
      </c>
    </row>
    <row r="19" spans="1:15" ht="50.1" customHeight="1" x14ac:dyDescent="0.3">
      <c r="A19" t="s">
        <v>288</v>
      </c>
      <c r="B19" t="s">
        <v>271</v>
      </c>
      <c r="C19" t="s">
        <v>64</v>
      </c>
      <c r="E19" t="str">
        <f t="shared" si="0"/>
        <v>구매가 0원</v>
      </c>
      <c r="G19" s="3"/>
      <c r="H19" t="s">
        <v>288</v>
      </c>
      <c r="I19" t="s">
        <v>382</v>
      </c>
      <c r="J19" t="s">
        <v>49</v>
      </c>
      <c r="K19" t="s">
        <v>65</v>
      </c>
      <c r="M19" s="2">
        <f t="shared" si="1"/>
        <v>0</v>
      </c>
      <c r="O19" s="6" t="str">
        <f t="shared" si="2"/>
        <v>0원</v>
      </c>
    </row>
    <row r="20" spans="1:15" ht="50.1" customHeight="1" x14ac:dyDescent="0.3">
      <c r="A20" t="s">
        <v>289</v>
      </c>
      <c r="B20" t="s">
        <v>271</v>
      </c>
      <c r="C20" t="s">
        <v>64</v>
      </c>
      <c r="E20" t="str">
        <f t="shared" si="0"/>
        <v>구매가 0원</v>
      </c>
      <c r="G20" s="3"/>
      <c r="H20" t="s">
        <v>289</v>
      </c>
      <c r="I20" t="s">
        <v>382</v>
      </c>
      <c r="J20" t="s">
        <v>49</v>
      </c>
      <c r="K20" t="s">
        <v>65</v>
      </c>
      <c r="M20" s="2">
        <f t="shared" si="1"/>
        <v>0</v>
      </c>
      <c r="O20" s="6" t="str">
        <f t="shared" si="2"/>
        <v>0원</v>
      </c>
    </row>
    <row r="21" spans="1:15" ht="50.1" customHeight="1" x14ac:dyDescent="0.3">
      <c r="A21" t="s">
        <v>290</v>
      </c>
      <c r="B21" t="s">
        <v>271</v>
      </c>
      <c r="C21" t="s">
        <v>64</v>
      </c>
      <c r="E21" t="str">
        <f t="shared" si="0"/>
        <v>구매가 0원</v>
      </c>
      <c r="G21" s="3"/>
      <c r="H21" t="s">
        <v>290</v>
      </c>
      <c r="I21" t="s">
        <v>382</v>
      </c>
      <c r="J21" t="s">
        <v>49</v>
      </c>
      <c r="K21" t="s">
        <v>65</v>
      </c>
      <c r="M21" s="2">
        <f t="shared" si="1"/>
        <v>0</v>
      </c>
      <c r="O21" s="6" t="str">
        <f t="shared" si="2"/>
        <v>0원</v>
      </c>
    </row>
    <row r="22" spans="1:15" ht="50.1" customHeight="1" x14ac:dyDescent="0.3">
      <c r="A22" t="s">
        <v>291</v>
      </c>
      <c r="B22" t="s">
        <v>271</v>
      </c>
      <c r="C22" t="s">
        <v>64</v>
      </c>
      <c r="E22" t="str">
        <f t="shared" si="0"/>
        <v>구매가 0원</v>
      </c>
      <c r="G22" s="3"/>
      <c r="H22" t="s">
        <v>291</v>
      </c>
      <c r="I22" t="s">
        <v>382</v>
      </c>
      <c r="J22" t="s">
        <v>49</v>
      </c>
      <c r="K22" t="s">
        <v>65</v>
      </c>
      <c r="M22" s="2">
        <f t="shared" si="1"/>
        <v>0</v>
      </c>
      <c r="O22" s="6" t="str">
        <f t="shared" si="2"/>
        <v>0원</v>
      </c>
    </row>
    <row r="23" spans="1:15" ht="50.1" customHeight="1" x14ac:dyDescent="0.3">
      <c r="A23" t="s">
        <v>292</v>
      </c>
      <c r="B23" t="s">
        <v>271</v>
      </c>
      <c r="C23" t="s">
        <v>64</v>
      </c>
      <c r="E23" t="str">
        <f t="shared" si="0"/>
        <v>구매가 0원</v>
      </c>
      <c r="G23" s="3"/>
      <c r="H23" t="s">
        <v>292</v>
      </c>
      <c r="I23" t="s">
        <v>382</v>
      </c>
      <c r="J23" t="s">
        <v>49</v>
      </c>
      <c r="K23" t="s">
        <v>65</v>
      </c>
      <c r="M23" s="2">
        <f t="shared" si="1"/>
        <v>0</v>
      </c>
      <c r="O23" s="6" t="str">
        <f t="shared" si="2"/>
        <v>0원</v>
      </c>
    </row>
    <row r="24" spans="1:15" ht="50.1" customHeight="1" x14ac:dyDescent="0.3">
      <c r="A24" t="s">
        <v>293</v>
      </c>
      <c r="B24" t="s">
        <v>271</v>
      </c>
      <c r="C24" t="s">
        <v>64</v>
      </c>
      <c r="E24" t="str">
        <f t="shared" si="0"/>
        <v>구매가 0원</v>
      </c>
      <c r="G24" s="3"/>
      <c r="H24" t="s">
        <v>293</v>
      </c>
      <c r="I24" t="s">
        <v>382</v>
      </c>
      <c r="J24" t="s">
        <v>49</v>
      </c>
      <c r="K24" t="s">
        <v>65</v>
      </c>
      <c r="M24" s="2">
        <f t="shared" si="1"/>
        <v>0</v>
      </c>
      <c r="O24" s="6" t="str">
        <f t="shared" si="2"/>
        <v>0원</v>
      </c>
    </row>
    <row r="25" spans="1:15" ht="50.1" customHeight="1" x14ac:dyDescent="0.3">
      <c r="A25" t="s">
        <v>294</v>
      </c>
      <c r="B25" t="s">
        <v>271</v>
      </c>
      <c r="C25" t="s">
        <v>64</v>
      </c>
      <c r="E25" t="str">
        <f t="shared" si="0"/>
        <v>구매가 0원</v>
      </c>
      <c r="G25" s="3"/>
      <c r="H25" t="s">
        <v>294</v>
      </c>
      <c r="I25" t="s">
        <v>382</v>
      </c>
      <c r="J25" t="s">
        <v>49</v>
      </c>
      <c r="K25" t="s">
        <v>65</v>
      </c>
      <c r="M25" s="2">
        <f t="shared" si="1"/>
        <v>0</v>
      </c>
      <c r="O25" s="6" t="str">
        <f t="shared" si="2"/>
        <v>0원</v>
      </c>
    </row>
    <row r="26" spans="1:15" ht="50.1" customHeight="1" x14ac:dyDescent="0.3">
      <c r="A26" t="s">
        <v>295</v>
      </c>
      <c r="B26" t="s">
        <v>271</v>
      </c>
      <c r="C26" t="s">
        <v>64</v>
      </c>
      <c r="E26" t="str">
        <f t="shared" si="0"/>
        <v>구매가 0원</v>
      </c>
      <c r="G26" s="3"/>
      <c r="H26" t="s">
        <v>295</v>
      </c>
      <c r="I26" t="s">
        <v>382</v>
      </c>
      <c r="J26" t="s">
        <v>49</v>
      </c>
      <c r="K26" t="s">
        <v>65</v>
      </c>
      <c r="M26" s="2">
        <f t="shared" si="1"/>
        <v>0</v>
      </c>
      <c r="O26" s="6" t="str">
        <f t="shared" si="2"/>
        <v>0원</v>
      </c>
    </row>
    <row r="27" spans="1:15" ht="50.1" customHeight="1" x14ac:dyDescent="0.3">
      <c r="A27" t="s">
        <v>296</v>
      </c>
      <c r="B27" t="s">
        <v>271</v>
      </c>
      <c r="C27" t="s">
        <v>64</v>
      </c>
      <c r="E27" t="str">
        <f t="shared" si="0"/>
        <v>구매가 0원</v>
      </c>
      <c r="G27" s="3"/>
      <c r="H27" t="s">
        <v>296</v>
      </c>
      <c r="I27" t="s">
        <v>382</v>
      </c>
      <c r="J27" t="s">
        <v>49</v>
      </c>
      <c r="K27" t="s">
        <v>65</v>
      </c>
      <c r="M27" s="2">
        <f t="shared" si="1"/>
        <v>0</v>
      </c>
      <c r="O27" s="6" t="str">
        <f t="shared" si="2"/>
        <v>0원</v>
      </c>
    </row>
    <row r="28" spans="1:15" ht="50.1" customHeight="1" x14ac:dyDescent="0.3">
      <c r="A28" t="s">
        <v>297</v>
      </c>
      <c r="B28" t="s">
        <v>271</v>
      </c>
      <c r="C28" t="s">
        <v>64</v>
      </c>
      <c r="E28" t="str">
        <f t="shared" si="0"/>
        <v>구매가 0원</v>
      </c>
      <c r="G28" s="3"/>
      <c r="H28" t="s">
        <v>297</v>
      </c>
      <c r="I28" t="s">
        <v>382</v>
      </c>
      <c r="J28" t="s">
        <v>49</v>
      </c>
      <c r="K28" t="s">
        <v>65</v>
      </c>
      <c r="M28" s="2">
        <f t="shared" si="1"/>
        <v>0</v>
      </c>
      <c r="O28" s="6" t="str">
        <f t="shared" si="2"/>
        <v>0원</v>
      </c>
    </row>
    <row r="29" spans="1:15" ht="50.1" customHeight="1" x14ac:dyDescent="0.3">
      <c r="A29" t="s">
        <v>298</v>
      </c>
      <c r="B29" t="s">
        <v>271</v>
      </c>
      <c r="C29" t="s">
        <v>64</v>
      </c>
      <c r="E29" t="str">
        <f t="shared" si="0"/>
        <v>구매가 0원</v>
      </c>
      <c r="G29" s="3"/>
      <c r="H29" t="s">
        <v>298</v>
      </c>
      <c r="I29" t="s">
        <v>382</v>
      </c>
      <c r="J29" t="s">
        <v>49</v>
      </c>
      <c r="K29" t="s">
        <v>65</v>
      </c>
      <c r="M29" s="2">
        <f t="shared" si="1"/>
        <v>0</v>
      </c>
      <c r="O29" s="6" t="str">
        <f t="shared" si="2"/>
        <v>0원</v>
      </c>
    </row>
    <row r="30" spans="1:15" ht="50.1" customHeight="1" x14ac:dyDescent="0.3">
      <c r="A30" t="s">
        <v>299</v>
      </c>
      <c r="B30" t="s">
        <v>271</v>
      </c>
      <c r="C30" t="s">
        <v>64</v>
      </c>
      <c r="E30" t="str">
        <f t="shared" si="0"/>
        <v>구매가 0원</v>
      </c>
      <c r="G30" s="3"/>
      <c r="H30" t="s">
        <v>299</v>
      </c>
      <c r="I30" t="s">
        <v>382</v>
      </c>
      <c r="J30" t="s">
        <v>49</v>
      </c>
      <c r="K30" t="s">
        <v>65</v>
      </c>
      <c r="M30" s="2">
        <f t="shared" si="1"/>
        <v>0</v>
      </c>
      <c r="O30" s="6" t="str">
        <f t="shared" si="2"/>
        <v>0원</v>
      </c>
    </row>
    <row r="31" spans="1:15" ht="50.1" customHeight="1" x14ac:dyDescent="0.3">
      <c r="A31" t="s">
        <v>300</v>
      </c>
      <c r="B31" t="s">
        <v>271</v>
      </c>
      <c r="C31" t="s">
        <v>64</v>
      </c>
      <c r="E31" t="str">
        <f t="shared" si="0"/>
        <v>구매가 0원</v>
      </c>
      <c r="G31" s="3"/>
      <c r="H31" t="s">
        <v>300</v>
      </c>
      <c r="I31" t="s">
        <v>382</v>
      </c>
      <c r="J31" t="s">
        <v>49</v>
      </c>
      <c r="K31" t="s">
        <v>65</v>
      </c>
      <c r="M31" s="2">
        <f t="shared" si="1"/>
        <v>0</v>
      </c>
      <c r="O31" s="6" t="str">
        <f t="shared" si="2"/>
        <v>0원</v>
      </c>
    </row>
    <row r="32" spans="1:15" ht="50.1" customHeight="1" x14ac:dyDescent="0.3">
      <c r="A32" t="s">
        <v>301</v>
      </c>
      <c r="B32" t="s">
        <v>271</v>
      </c>
      <c r="C32" t="s">
        <v>64</v>
      </c>
      <c r="E32" t="str">
        <f t="shared" si="0"/>
        <v>구매가 0원</v>
      </c>
      <c r="G32" s="3"/>
      <c r="H32" t="s">
        <v>301</v>
      </c>
      <c r="I32" t="s">
        <v>382</v>
      </c>
      <c r="J32" t="s">
        <v>49</v>
      </c>
      <c r="K32" t="s">
        <v>65</v>
      </c>
      <c r="M32" s="2">
        <f t="shared" si="1"/>
        <v>0</v>
      </c>
      <c r="O32" s="6" t="str">
        <f t="shared" si="2"/>
        <v>0원</v>
      </c>
    </row>
    <row r="33" spans="1:15" ht="50.1" customHeight="1" x14ac:dyDescent="0.3">
      <c r="A33" t="s">
        <v>302</v>
      </c>
      <c r="B33" t="s">
        <v>271</v>
      </c>
      <c r="C33" t="s">
        <v>64</v>
      </c>
      <c r="E33" t="str">
        <f t="shared" si="0"/>
        <v>구매가 0원</v>
      </c>
      <c r="G33" s="3"/>
      <c r="H33" t="s">
        <v>302</v>
      </c>
      <c r="I33" t="s">
        <v>382</v>
      </c>
      <c r="J33" t="s">
        <v>49</v>
      </c>
      <c r="K33" t="s">
        <v>65</v>
      </c>
      <c r="M33" s="2">
        <f t="shared" si="1"/>
        <v>0</v>
      </c>
      <c r="O33" s="6" t="str">
        <f t="shared" si="2"/>
        <v>0원</v>
      </c>
    </row>
    <row r="34" spans="1:15" ht="50.1" customHeight="1" x14ac:dyDescent="0.3">
      <c r="A34" t="s">
        <v>303</v>
      </c>
      <c r="B34" t="s">
        <v>271</v>
      </c>
      <c r="C34" t="s">
        <v>64</v>
      </c>
      <c r="E34" t="str">
        <f t="shared" ref="E34:E65" si="3">"구매가 "&amp;TEXT(M34,"#,##0")&amp;"원"</f>
        <v>구매가 0원</v>
      </c>
      <c r="G34" s="3"/>
      <c r="H34" t="s">
        <v>303</v>
      </c>
      <c r="I34" t="s">
        <v>382</v>
      </c>
      <c r="J34" t="s">
        <v>49</v>
      </c>
      <c r="K34" t="s">
        <v>65</v>
      </c>
      <c r="M34" s="2">
        <f t="shared" ref="M34:M65" si="4">L34*200*9</f>
        <v>0</v>
      </c>
      <c r="O34" s="6" t="str">
        <f t="shared" ref="O34:O65" si="5">P34*200&amp;"원"</f>
        <v>0원</v>
      </c>
    </row>
    <row r="35" spans="1:15" ht="50.1" customHeight="1" x14ac:dyDescent="0.3">
      <c r="A35" t="s">
        <v>304</v>
      </c>
      <c r="B35" t="s">
        <v>271</v>
      </c>
      <c r="C35" t="s">
        <v>64</v>
      </c>
      <c r="E35" t="str">
        <f t="shared" si="3"/>
        <v>구매가 0원</v>
      </c>
      <c r="G35" s="3"/>
      <c r="H35" t="s">
        <v>304</v>
      </c>
      <c r="I35" t="s">
        <v>382</v>
      </c>
      <c r="J35" t="s">
        <v>49</v>
      </c>
      <c r="K35" t="s">
        <v>65</v>
      </c>
      <c r="M35" s="2">
        <f t="shared" si="4"/>
        <v>0</v>
      </c>
      <c r="O35" s="6" t="str">
        <f t="shared" si="5"/>
        <v>0원</v>
      </c>
    </row>
    <row r="36" spans="1:15" ht="50.1" customHeight="1" x14ac:dyDescent="0.3">
      <c r="A36" t="s">
        <v>305</v>
      </c>
      <c r="B36" t="s">
        <v>271</v>
      </c>
      <c r="C36" t="s">
        <v>64</v>
      </c>
      <c r="E36" t="str">
        <f t="shared" si="3"/>
        <v>구매가 0원</v>
      </c>
      <c r="G36" s="3"/>
      <c r="H36" t="s">
        <v>305</v>
      </c>
      <c r="I36" t="s">
        <v>382</v>
      </c>
      <c r="J36" t="s">
        <v>49</v>
      </c>
      <c r="K36" t="s">
        <v>65</v>
      </c>
      <c r="M36" s="2">
        <f t="shared" si="4"/>
        <v>0</v>
      </c>
      <c r="O36" s="6" t="str">
        <f t="shared" si="5"/>
        <v>0원</v>
      </c>
    </row>
    <row r="37" spans="1:15" ht="50.1" customHeight="1" x14ac:dyDescent="0.3">
      <c r="A37" t="s">
        <v>306</v>
      </c>
      <c r="B37" t="s">
        <v>271</v>
      </c>
      <c r="C37" t="s">
        <v>64</v>
      </c>
      <c r="E37" t="str">
        <f t="shared" si="3"/>
        <v>구매가 0원</v>
      </c>
      <c r="G37" s="3"/>
      <c r="H37" t="s">
        <v>306</v>
      </c>
      <c r="I37" t="s">
        <v>382</v>
      </c>
      <c r="J37" t="s">
        <v>49</v>
      </c>
      <c r="K37" t="s">
        <v>65</v>
      </c>
      <c r="M37" s="2">
        <f t="shared" si="4"/>
        <v>0</v>
      </c>
      <c r="O37" s="6" t="str">
        <f t="shared" si="5"/>
        <v>0원</v>
      </c>
    </row>
    <row r="38" spans="1:15" ht="50.1" customHeight="1" x14ac:dyDescent="0.3">
      <c r="A38" t="s">
        <v>307</v>
      </c>
      <c r="B38" t="s">
        <v>271</v>
      </c>
      <c r="C38" t="s">
        <v>64</v>
      </c>
      <c r="E38" t="str">
        <f t="shared" si="3"/>
        <v>구매가 0원</v>
      </c>
      <c r="G38" s="3"/>
      <c r="H38" t="s">
        <v>307</v>
      </c>
      <c r="I38" t="s">
        <v>382</v>
      </c>
      <c r="J38" t="s">
        <v>49</v>
      </c>
      <c r="K38" t="s">
        <v>65</v>
      </c>
      <c r="M38" s="2">
        <f t="shared" si="4"/>
        <v>0</v>
      </c>
      <c r="O38" s="6" t="str">
        <f t="shared" si="5"/>
        <v>0원</v>
      </c>
    </row>
    <row r="39" spans="1:15" ht="50.1" customHeight="1" x14ac:dyDescent="0.3">
      <c r="A39" t="s">
        <v>308</v>
      </c>
      <c r="B39" t="s">
        <v>271</v>
      </c>
      <c r="C39" t="s">
        <v>64</v>
      </c>
      <c r="E39" t="str">
        <f t="shared" si="3"/>
        <v>구매가 0원</v>
      </c>
      <c r="G39" s="3"/>
      <c r="H39" t="s">
        <v>308</v>
      </c>
      <c r="I39" t="s">
        <v>382</v>
      </c>
      <c r="J39" t="s">
        <v>49</v>
      </c>
      <c r="K39" t="s">
        <v>65</v>
      </c>
      <c r="M39" s="2">
        <f t="shared" si="4"/>
        <v>0</v>
      </c>
      <c r="O39" s="6" t="str">
        <f t="shared" si="5"/>
        <v>0원</v>
      </c>
    </row>
    <row r="40" spans="1:15" ht="50.1" customHeight="1" x14ac:dyDescent="0.3">
      <c r="A40" t="s">
        <v>309</v>
      </c>
      <c r="B40" t="s">
        <v>271</v>
      </c>
      <c r="C40" t="s">
        <v>64</v>
      </c>
      <c r="E40" t="str">
        <f t="shared" si="3"/>
        <v>구매가 0원</v>
      </c>
      <c r="G40" s="3"/>
      <c r="H40" t="s">
        <v>309</v>
      </c>
      <c r="I40" t="s">
        <v>382</v>
      </c>
      <c r="J40" t="s">
        <v>49</v>
      </c>
      <c r="K40" t="s">
        <v>65</v>
      </c>
      <c r="M40" s="2">
        <f t="shared" si="4"/>
        <v>0</v>
      </c>
      <c r="O40" s="6" t="str">
        <f t="shared" si="5"/>
        <v>0원</v>
      </c>
    </row>
    <row r="41" spans="1:15" ht="50.1" customHeight="1" x14ac:dyDescent="0.3">
      <c r="A41" t="s">
        <v>310</v>
      </c>
      <c r="B41" t="s">
        <v>271</v>
      </c>
      <c r="C41" t="s">
        <v>64</v>
      </c>
      <c r="E41" t="str">
        <f t="shared" si="3"/>
        <v>구매가 0원</v>
      </c>
      <c r="G41" s="3"/>
      <c r="H41" t="s">
        <v>310</v>
      </c>
      <c r="I41" t="s">
        <v>382</v>
      </c>
      <c r="J41" t="s">
        <v>49</v>
      </c>
      <c r="K41" t="s">
        <v>65</v>
      </c>
      <c r="M41" s="2">
        <f t="shared" si="4"/>
        <v>0</v>
      </c>
      <c r="O41" s="6" t="str">
        <f t="shared" si="5"/>
        <v>0원</v>
      </c>
    </row>
    <row r="42" spans="1:15" ht="50.1" customHeight="1" x14ac:dyDescent="0.3">
      <c r="A42" t="s">
        <v>311</v>
      </c>
      <c r="B42" t="s">
        <v>271</v>
      </c>
      <c r="C42" t="s">
        <v>64</v>
      </c>
      <c r="E42" t="str">
        <f t="shared" si="3"/>
        <v>구매가 0원</v>
      </c>
      <c r="G42" s="3"/>
      <c r="H42" t="s">
        <v>311</v>
      </c>
      <c r="I42" t="s">
        <v>382</v>
      </c>
      <c r="J42" t="s">
        <v>49</v>
      </c>
      <c r="K42" t="s">
        <v>65</v>
      </c>
      <c r="M42" s="2">
        <f t="shared" si="4"/>
        <v>0</v>
      </c>
      <c r="O42" s="6" t="str">
        <f t="shared" si="5"/>
        <v>0원</v>
      </c>
    </row>
    <row r="43" spans="1:15" ht="50.1" customHeight="1" x14ac:dyDescent="0.3">
      <c r="A43" t="s">
        <v>312</v>
      </c>
      <c r="B43" t="s">
        <v>271</v>
      </c>
      <c r="C43" t="s">
        <v>64</v>
      </c>
      <c r="E43" t="str">
        <f t="shared" si="3"/>
        <v>구매가 0원</v>
      </c>
      <c r="G43" s="3"/>
      <c r="H43" t="s">
        <v>312</v>
      </c>
      <c r="I43" t="s">
        <v>382</v>
      </c>
      <c r="J43" t="s">
        <v>49</v>
      </c>
      <c r="K43" t="s">
        <v>65</v>
      </c>
      <c r="M43" s="2">
        <f t="shared" si="4"/>
        <v>0</v>
      </c>
      <c r="O43" s="6" t="str">
        <f t="shared" si="5"/>
        <v>0원</v>
      </c>
    </row>
    <row r="44" spans="1:15" ht="50.1" customHeight="1" x14ac:dyDescent="0.3">
      <c r="A44" t="s">
        <v>313</v>
      </c>
      <c r="B44" t="s">
        <v>271</v>
      </c>
      <c r="C44" t="s">
        <v>64</v>
      </c>
      <c r="E44" t="str">
        <f t="shared" si="3"/>
        <v>구매가 0원</v>
      </c>
      <c r="G44" s="3"/>
      <c r="H44" t="s">
        <v>313</v>
      </c>
      <c r="I44" t="s">
        <v>382</v>
      </c>
      <c r="J44" t="s">
        <v>49</v>
      </c>
      <c r="K44" t="s">
        <v>65</v>
      </c>
      <c r="M44" s="2">
        <f t="shared" si="4"/>
        <v>0</v>
      </c>
      <c r="O44" s="6" t="str">
        <f t="shared" si="5"/>
        <v>0원</v>
      </c>
    </row>
    <row r="45" spans="1:15" ht="50.1" customHeight="1" x14ac:dyDescent="0.3">
      <c r="A45" t="s">
        <v>314</v>
      </c>
      <c r="B45" t="s">
        <v>271</v>
      </c>
      <c r="C45" t="s">
        <v>64</v>
      </c>
      <c r="E45" t="str">
        <f t="shared" si="3"/>
        <v>구매가 0원</v>
      </c>
      <c r="G45" s="3"/>
      <c r="H45" t="s">
        <v>314</v>
      </c>
      <c r="I45" t="s">
        <v>382</v>
      </c>
      <c r="J45" t="s">
        <v>49</v>
      </c>
      <c r="K45" t="s">
        <v>65</v>
      </c>
      <c r="M45" s="2">
        <f t="shared" si="4"/>
        <v>0</v>
      </c>
      <c r="O45" s="6" t="str">
        <f t="shared" si="5"/>
        <v>0원</v>
      </c>
    </row>
    <row r="46" spans="1:15" ht="50.1" customHeight="1" x14ac:dyDescent="0.3">
      <c r="A46" t="s">
        <v>315</v>
      </c>
      <c r="B46" t="s">
        <v>271</v>
      </c>
      <c r="C46" t="s">
        <v>64</v>
      </c>
      <c r="E46" t="str">
        <f t="shared" si="3"/>
        <v>구매가 0원</v>
      </c>
      <c r="G46" s="3"/>
      <c r="H46" t="s">
        <v>315</v>
      </c>
      <c r="I46" t="s">
        <v>382</v>
      </c>
      <c r="J46" t="s">
        <v>49</v>
      </c>
      <c r="K46" t="s">
        <v>65</v>
      </c>
      <c r="M46" s="2">
        <f t="shared" si="4"/>
        <v>0</v>
      </c>
      <c r="O46" s="6" t="str">
        <f t="shared" si="5"/>
        <v>0원</v>
      </c>
    </row>
    <row r="47" spans="1:15" ht="50.1" customHeight="1" x14ac:dyDescent="0.3">
      <c r="A47" t="s">
        <v>316</v>
      </c>
      <c r="B47" t="s">
        <v>271</v>
      </c>
      <c r="C47" t="s">
        <v>64</v>
      </c>
      <c r="E47" t="str">
        <f t="shared" si="3"/>
        <v>구매가 0원</v>
      </c>
      <c r="G47" s="3"/>
      <c r="H47" t="s">
        <v>316</v>
      </c>
      <c r="I47" t="s">
        <v>382</v>
      </c>
      <c r="J47" t="s">
        <v>49</v>
      </c>
      <c r="K47" t="s">
        <v>65</v>
      </c>
      <c r="M47" s="2">
        <f t="shared" si="4"/>
        <v>0</v>
      </c>
      <c r="O47" s="6" t="str">
        <f t="shared" si="5"/>
        <v>0원</v>
      </c>
    </row>
    <row r="48" spans="1:15" ht="50.1" customHeight="1" x14ac:dyDescent="0.3">
      <c r="A48" t="s">
        <v>317</v>
      </c>
      <c r="B48" t="s">
        <v>271</v>
      </c>
      <c r="C48" t="s">
        <v>64</v>
      </c>
      <c r="E48" t="str">
        <f t="shared" si="3"/>
        <v>구매가 0원</v>
      </c>
      <c r="G48" s="3"/>
      <c r="H48" t="s">
        <v>317</v>
      </c>
      <c r="I48" t="s">
        <v>382</v>
      </c>
      <c r="J48" t="s">
        <v>49</v>
      </c>
      <c r="K48" t="s">
        <v>65</v>
      </c>
      <c r="M48" s="2">
        <f t="shared" si="4"/>
        <v>0</v>
      </c>
      <c r="O48" s="6" t="str">
        <f t="shared" si="5"/>
        <v>0원</v>
      </c>
    </row>
    <row r="49" spans="1:15" ht="50.1" customHeight="1" x14ac:dyDescent="0.3">
      <c r="A49" t="s">
        <v>318</v>
      </c>
      <c r="B49" t="s">
        <v>271</v>
      </c>
      <c r="C49" t="s">
        <v>64</v>
      </c>
      <c r="E49" t="str">
        <f t="shared" si="3"/>
        <v>구매가 0원</v>
      </c>
      <c r="G49" s="3"/>
      <c r="H49" t="s">
        <v>318</v>
      </c>
      <c r="I49" t="s">
        <v>382</v>
      </c>
      <c r="J49" t="s">
        <v>49</v>
      </c>
      <c r="K49" t="s">
        <v>65</v>
      </c>
      <c r="M49" s="2">
        <f t="shared" si="4"/>
        <v>0</v>
      </c>
      <c r="O49" s="6" t="str">
        <f t="shared" si="5"/>
        <v>0원</v>
      </c>
    </row>
    <row r="50" spans="1:15" ht="50.1" customHeight="1" x14ac:dyDescent="0.3">
      <c r="A50" t="s">
        <v>319</v>
      </c>
      <c r="B50" t="s">
        <v>271</v>
      </c>
      <c r="C50" t="s">
        <v>64</v>
      </c>
      <c r="E50" t="str">
        <f t="shared" si="3"/>
        <v>구매가 0원</v>
      </c>
      <c r="G50" s="3"/>
      <c r="H50" t="s">
        <v>319</v>
      </c>
      <c r="I50" t="s">
        <v>382</v>
      </c>
      <c r="J50" t="s">
        <v>49</v>
      </c>
      <c r="K50" t="s">
        <v>65</v>
      </c>
      <c r="M50" s="2">
        <f t="shared" si="4"/>
        <v>0</v>
      </c>
      <c r="O50" s="6" t="str">
        <f t="shared" si="5"/>
        <v>0원</v>
      </c>
    </row>
    <row r="51" spans="1:15" ht="50.1" customHeight="1" x14ac:dyDescent="0.3">
      <c r="A51" t="s">
        <v>320</v>
      </c>
      <c r="B51" t="s">
        <v>271</v>
      </c>
      <c r="C51" t="s">
        <v>64</v>
      </c>
      <c r="E51" t="str">
        <f t="shared" si="3"/>
        <v>구매가 0원</v>
      </c>
      <c r="G51" s="3"/>
      <c r="H51" t="s">
        <v>320</v>
      </c>
      <c r="I51" t="s">
        <v>382</v>
      </c>
      <c r="J51" t="s">
        <v>49</v>
      </c>
      <c r="K51" t="s">
        <v>65</v>
      </c>
      <c r="M51" s="2">
        <f t="shared" si="4"/>
        <v>0</v>
      </c>
      <c r="O51" s="6" t="str">
        <f t="shared" si="5"/>
        <v>0원</v>
      </c>
    </row>
    <row r="52" spans="1:15" ht="50.1" customHeight="1" x14ac:dyDescent="0.3">
      <c r="A52" t="s">
        <v>321</v>
      </c>
      <c r="B52" t="s">
        <v>271</v>
      </c>
      <c r="C52" t="s">
        <v>64</v>
      </c>
      <c r="E52" t="str">
        <f t="shared" si="3"/>
        <v>구매가 0원</v>
      </c>
      <c r="G52" s="3"/>
      <c r="H52" t="s">
        <v>321</v>
      </c>
      <c r="I52" t="s">
        <v>382</v>
      </c>
      <c r="J52" t="s">
        <v>49</v>
      </c>
      <c r="K52" t="s">
        <v>65</v>
      </c>
      <c r="M52" s="2">
        <f t="shared" si="4"/>
        <v>0</v>
      </c>
      <c r="O52" s="6" t="str">
        <f t="shared" si="5"/>
        <v>0원</v>
      </c>
    </row>
    <row r="53" spans="1:15" ht="50.1" customHeight="1" x14ac:dyDescent="0.3">
      <c r="A53" t="s">
        <v>322</v>
      </c>
      <c r="B53" t="s">
        <v>271</v>
      </c>
      <c r="C53" t="s">
        <v>64</v>
      </c>
      <c r="E53" t="str">
        <f t="shared" si="3"/>
        <v>구매가 0원</v>
      </c>
      <c r="G53" s="3"/>
      <c r="H53" t="s">
        <v>322</v>
      </c>
      <c r="I53" t="s">
        <v>382</v>
      </c>
      <c r="J53" t="s">
        <v>49</v>
      </c>
      <c r="K53" t="s">
        <v>65</v>
      </c>
      <c r="M53" s="2">
        <f t="shared" si="4"/>
        <v>0</v>
      </c>
      <c r="O53" s="6" t="str">
        <f t="shared" si="5"/>
        <v>0원</v>
      </c>
    </row>
    <row r="54" spans="1:15" ht="50.1" customHeight="1" x14ac:dyDescent="0.3">
      <c r="A54" t="s">
        <v>323</v>
      </c>
      <c r="B54" t="s">
        <v>271</v>
      </c>
      <c r="C54" t="s">
        <v>64</v>
      </c>
      <c r="E54" t="str">
        <f t="shared" si="3"/>
        <v>구매가 0원</v>
      </c>
      <c r="G54" s="3"/>
      <c r="H54" t="s">
        <v>323</v>
      </c>
      <c r="I54" t="s">
        <v>382</v>
      </c>
      <c r="J54" t="s">
        <v>49</v>
      </c>
      <c r="K54" t="s">
        <v>65</v>
      </c>
      <c r="M54" s="2">
        <f t="shared" si="4"/>
        <v>0</v>
      </c>
      <c r="O54" s="6" t="str">
        <f t="shared" si="5"/>
        <v>0원</v>
      </c>
    </row>
    <row r="55" spans="1:15" ht="50.1" customHeight="1" x14ac:dyDescent="0.3">
      <c r="A55" t="s">
        <v>324</v>
      </c>
      <c r="B55" t="s">
        <v>271</v>
      </c>
      <c r="C55" t="s">
        <v>64</v>
      </c>
      <c r="E55" t="str">
        <f t="shared" si="3"/>
        <v>구매가 0원</v>
      </c>
      <c r="G55" s="3"/>
      <c r="H55" t="s">
        <v>324</v>
      </c>
      <c r="I55" t="s">
        <v>382</v>
      </c>
      <c r="J55" t="s">
        <v>49</v>
      </c>
      <c r="K55" t="s">
        <v>65</v>
      </c>
      <c r="M55" s="2">
        <f t="shared" si="4"/>
        <v>0</v>
      </c>
      <c r="O55" s="6" t="str">
        <f t="shared" si="5"/>
        <v>0원</v>
      </c>
    </row>
    <row r="56" spans="1:15" ht="50.1" customHeight="1" x14ac:dyDescent="0.3">
      <c r="A56" t="s">
        <v>325</v>
      </c>
      <c r="B56" t="s">
        <v>271</v>
      </c>
      <c r="C56" t="s">
        <v>64</v>
      </c>
      <c r="E56" t="str">
        <f t="shared" si="3"/>
        <v>구매가 0원</v>
      </c>
      <c r="G56" s="3"/>
      <c r="H56" t="s">
        <v>325</v>
      </c>
      <c r="I56" t="s">
        <v>382</v>
      </c>
      <c r="J56" t="s">
        <v>49</v>
      </c>
      <c r="K56" t="s">
        <v>65</v>
      </c>
      <c r="M56" s="2">
        <f t="shared" si="4"/>
        <v>0</v>
      </c>
      <c r="O56" s="6" t="str">
        <f t="shared" si="5"/>
        <v>0원</v>
      </c>
    </row>
    <row r="57" spans="1:15" ht="50.1" customHeight="1" x14ac:dyDescent="0.3">
      <c r="A57" t="s">
        <v>326</v>
      </c>
      <c r="B57" t="s">
        <v>271</v>
      </c>
      <c r="C57" t="s">
        <v>64</v>
      </c>
      <c r="E57" t="str">
        <f t="shared" si="3"/>
        <v>구매가 0원</v>
      </c>
      <c r="G57" s="3"/>
      <c r="H57" t="s">
        <v>326</v>
      </c>
      <c r="I57" t="s">
        <v>382</v>
      </c>
      <c r="J57" t="s">
        <v>49</v>
      </c>
      <c r="K57" t="s">
        <v>65</v>
      </c>
      <c r="M57" s="2">
        <f t="shared" si="4"/>
        <v>0</v>
      </c>
      <c r="O57" s="6" t="str">
        <f t="shared" si="5"/>
        <v>0원</v>
      </c>
    </row>
    <row r="58" spans="1:15" ht="50.1" customHeight="1" x14ac:dyDescent="0.3">
      <c r="A58" t="s">
        <v>327</v>
      </c>
      <c r="B58" t="s">
        <v>271</v>
      </c>
      <c r="C58" t="s">
        <v>64</v>
      </c>
      <c r="E58" t="str">
        <f t="shared" si="3"/>
        <v>구매가 0원</v>
      </c>
      <c r="G58" s="3"/>
      <c r="H58" t="s">
        <v>327</v>
      </c>
      <c r="I58" t="s">
        <v>382</v>
      </c>
      <c r="J58" t="s">
        <v>49</v>
      </c>
      <c r="K58" t="s">
        <v>65</v>
      </c>
      <c r="M58" s="2">
        <f t="shared" si="4"/>
        <v>0</v>
      </c>
      <c r="O58" s="6" t="str">
        <f t="shared" si="5"/>
        <v>0원</v>
      </c>
    </row>
    <row r="59" spans="1:15" ht="50.1" customHeight="1" x14ac:dyDescent="0.3">
      <c r="A59" t="s">
        <v>328</v>
      </c>
      <c r="B59" t="s">
        <v>271</v>
      </c>
      <c r="C59" t="s">
        <v>64</v>
      </c>
      <c r="E59" t="str">
        <f t="shared" si="3"/>
        <v>구매가 0원</v>
      </c>
      <c r="G59" s="3"/>
      <c r="H59" t="s">
        <v>328</v>
      </c>
      <c r="I59" t="s">
        <v>382</v>
      </c>
      <c r="J59" t="s">
        <v>49</v>
      </c>
      <c r="K59" t="s">
        <v>65</v>
      </c>
      <c r="M59" s="2">
        <f t="shared" si="4"/>
        <v>0</v>
      </c>
      <c r="O59" s="6" t="str">
        <f t="shared" si="5"/>
        <v>0원</v>
      </c>
    </row>
    <row r="60" spans="1:15" ht="50.1" customHeight="1" x14ac:dyDescent="0.3">
      <c r="A60" t="s">
        <v>329</v>
      </c>
      <c r="B60" t="s">
        <v>271</v>
      </c>
      <c r="C60" t="s">
        <v>64</v>
      </c>
      <c r="E60" t="str">
        <f t="shared" si="3"/>
        <v>구매가 0원</v>
      </c>
      <c r="G60" s="3"/>
      <c r="H60" t="s">
        <v>329</v>
      </c>
      <c r="I60" t="s">
        <v>382</v>
      </c>
      <c r="J60" t="s">
        <v>49</v>
      </c>
      <c r="K60" t="s">
        <v>65</v>
      </c>
      <c r="M60" s="2">
        <f t="shared" si="4"/>
        <v>0</v>
      </c>
      <c r="O60" s="6" t="str">
        <f t="shared" si="5"/>
        <v>0원</v>
      </c>
    </row>
    <row r="61" spans="1:15" ht="50.1" customHeight="1" x14ac:dyDescent="0.3">
      <c r="A61" t="s">
        <v>330</v>
      </c>
      <c r="B61" t="s">
        <v>271</v>
      </c>
      <c r="C61" t="s">
        <v>64</v>
      </c>
      <c r="E61" t="str">
        <f t="shared" si="3"/>
        <v>구매가 0원</v>
      </c>
      <c r="G61" s="3"/>
      <c r="H61" t="s">
        <v>330</v>
      </c>
      <c r="I61" t="s">
        <v>382</v>
      </c>
      <c r="J61" t="s">
        <v>49</v>
      </c>
      <c r="K61" t="s">
        <v>65</v>
      </c>
      <c r="M61" s="2">
        <f t="shared" si="4"/>
        <v>0</v>
      </c>
      <c r="O61" s="6" t="str">
        <f t="shared" si="5"/>
        <v>0원</v>
      </c>
    </row>
    <row r="62" spans="1:15" ht="50.1" customHeight="1" x14ac:dyDescent="0.3">
      <c r="A62" t="s">
        <v>331</v>
      </c>
      <c r="B62" t="s">
        <v>271</v>
      </c>
      <c r="C62" t="s">
        <v>64</v>
      </c>
      <c r="E62" t="str">
        <f t="shared" si="3"/>
        <v>구매가 0원</v>
      </c>
      <c r="G62" s="3"/>
      <c r="H62" t="s">
        <v>331</v>
      </c>
      <c r="I62" t="s">
        <v>382</v>
      </c>
      <c r="J62" t="s">
        <v>49</v>
      </c>
      <c r="K62" t="s">
        <v>65</v>
      </c>
      <c r="M62" s="2">
        <f t="shared" si="4"/>
        <v>0</v>
      </c>
      <c r="O62" s="6" t="str">
        <f t="shared" si="5"/>
        <v>0원</v>
      </c>
    </row>
    <row r="63" spans="1:15" ht="50.1" customHeight="1" x14ac:dyDescent="0.3">
      <c r="A63" t="s">
        <v>332</v>
      </c>
      <c r="B63" t="s">
        <v>271</v>
      </c>
      <c r="C63" t="s">
        <v>64</v>
      </c>
      <c r="E63" t="str">
        <f t="shared" si="3"/>
        <v>구매가 0원</v>
      </c>
      <c r="G63" s="3"/>
      <c r="H63" t="s">
        <v>332</v>
      </c>
      <c r="I63" t="s">
        <v>382</v>
      </c>
      <c r="J63" t="s">
        <v>49</v>
      </c>
      <c r="K63" t="s">
        <v>65</v>
      </c>
      <c r="M63" s="2">
        <f t="shared" si="4"/>
        <v>0</v>
      </c>
      <c r="O63" s="6" t="str">
        <f t="shared" si="5"/>
        <v>0원</v>
      </c>
    </row>
    <row r="64" spans="1:15" ht="50.1" customHeight="1" x14ac:dyDescent="0.3">
      <c r="A64" t="s">
        <v>333</v>
      </c>
      <c r="B64" t="s">
        <v>271</v>
      </c>
      <c r="C64" t="s">
        <v>64</v>
      </c>
      <c r="E64" t="str">
        <f t="shared" si="3"/>
        <v>구매가 0원</v>
      </c>
      <c r="G64" s="3"/>
      <c r="H64" t="s">
        <v>333</v>
      </c>
      <c r="I64" t="s">
        <v>382</v>
      </c>
      <c r="J64" t="s">
        <v>49</v>
      </c>
      <c r="K64" t="s">
        <v>65</v>
      </c>
      <c r="M64" s="2">
        <f t="shared" si="4"/>
        <v>0</v>
      </c>
      <c r="O64" s="6" t="str">
        <f t="shared" si="5"/>
        <v>0원</v>
      </c>
    </row>
    <row r="65" spans="1:15" ht="50.1" customHeight="1" x14ac:dyDescent="0.3">
      <c r="A65" t="s">
        <v>334</v>
      </c>
      <c r="B65" t="s">
        <v>271</v>
      </c>
      <c r="C65" t="s">
        <v>64</v>
      </c>
      <c r="E65" t="str">
        <f t="shared" si="3"/>
        <v>구매가 0원</v>
      </c>
      <c r="G65" s="3"/>
      <c r="H65" t="s">
        <v>334</v>
      </c>
      <c r="I65" t="s">
        <v>382</v>
      </c>
      <c r="J65" t="s">
        <v>49</v>
      </c>
      <c r="K65" t="s">
        <v>65</v>
      </c>
      <c r="M65" s="2">
        <f t="shared" si="4"/>
        <v>0</v>
      </c>
      <c r="O65" s="6" t="str">
        <f t="shared" si="5"/>
        <v>0원</v>
      </c>
    </row>
    <row r="66" spans="1:15" ht="50.1" customHeight="1" x14ac:dyDescent="0.3">
      <c r="A66" t="s">
        <v>335</v>
      </c>
      <c r="B66" t="s">
        <v>271</v>
      </c>
      <c r="C66" t="s">
        <v>64</v>
      </c>
      <c r="E66" t="str">
        <f t="shared" ref="E66:E101" si="6">"구매가 "&amp;TEXT(M66,"#,##0")&amp;"원"</f>
        <v>구매가 0원</v>
      </c>
      <c r="G66" s="3"/>
      <c r="H66" t="s">
        <v>335</v>
      </c>
      <c r="I66" t="s">
        <v>382</v>
      </c>
      <c r="J66" t="s">
        <v>49</v>
      </c>
      <c r="K66" t="s">
        <v>65</v>
      </c>
      <c r="M66" s="2">
        <f t="shared" ref="M66:M97" si="7">L66*200*9</f>
        <v>0</v>
      </c>
      <c r="O66" s="6" t="str">
        <f t="shared" ref="O66:O97" si="8">P66*200&amp;"원"</f>
        <v>0원</v>
      </c>
    </row>
    <row r="67" spans="1:15" ht="50.1" customHeight="1" x14ac:dyDescent="0.3">
      <c r="A67" t="s">
        <v>336</v>
      </c>
      <c r="B67" t="s">
        <v>271</v>
      </c>
      <c r="C67" t="s">
        <v>64</v>
      </c>
      <c r="E67" t="str">
        <f t="shared" si="6"/>
        <v>구매가 0원</v>
      </c>
      <c r="G67" s="3"/>
      <c r="H67" t="s">
        <v>336</v>
      </c>
      <c r="I67" t="s">
        <v>382</v>
      </c>
      <c r="J67" t="s">
        <v>49</v>
      </c>
      <c r="K67" t="s">
        <v>65</v>
      </c>
      <c r="M67" s="2">
        <f t="shared" si="7"/>
        <v>0</v>
      </c>
      <c r="O67" s="6" t="str">
        <f t="shared" si="8"/>
        <v>0원</v>
      </c>
    </row>
    <row r="68" spans="1:15" ht="50.1" customHeight="1" x14ac:dyDescent="0.3">
      <c r="A68" t="s">
        <v>337</v>
      </c>
      <c r="B68" t="s">
        <v>271</v>
      </c>
      <c r="C68" t="s">
        <v>64</v>
      </c>
      <c r="E68" t="str">
        <f t="shared" si="6"/>
        <v>구매가 0원</v>
      </c>
      <c r="G68" s="3"/>
      <c r="H68" t="s">
        <v>337</v>
      </c>
      <c r="I68" t="s">
        <v>382</v>
      </c>
      <c r="J68" t="s">
        <v>49</v>
      </c>
      <c r="K68" t="s">
        <v>65</v>
      </c>
      <c r="M68" s="2">
        <f t="shared" si="7"/>
        <v>0</v>
      </c>
      <c r="O68" s="6" t="str">
        <f t="shared" si="8"/>
        <v>0원</v>
      </c>
    </row>
    <row r="69" spans="1:15" ht="50.1" customHeight="1" x14ac:dyDescent="0.3">
      <c r="A69" t="s">
        <v>338</v>
      </c>
      <c r="B69" t="s">
        <v>271</v>
      </c>
      <c r="C69" t="s">
        <v>64</v>
      </c>
      <c r="E69" t="str">
        <f t="shared" si="6"/>
        <v>구매가 0원</v>
      </c>
      <c r="G69" s="3"/>
      <c r="H69" t="s">
        <v>338</v>
      </c>
      <c r="I69" t="s">
        <v>382</v>
      </c>
      <c r="J69" t="s">
        <v>49</v>
      </c>
      <c r="K69" t="s">
        <v>65</v>
      </c>
      <c r="M69" s="2">
        <f t="shared" si="7"/>
        <v>0</v>
      </c>
      <c r="O69" s="6" t="str">
        <f t="shared" si="8"/>
        <v>0원</v>
      </c>
    </row>
    <row r="70" spans="1:15" ht="50.1" customHeight="1" x14ac:dyDescent="0.3">
      <c r="A70" t="s">
        <v>339</v>
      </c>
      <c r="B70" t="s">
        <v>271</v>
      </c>
      <c r="C70" t="s">
        <v>64</v>
      </c>
      <c r="E70" t="str">
        <f t="shared" si="6"/>
        <v>구매가 0원</v>
      </c>
      <c r="G70" s="3"/>
      <c r="H70" t="s">
        <v>339</v>
      </c>
      <c r="I70" t="s">
        <v>382</v>
      </c>
      <c r="J70" t="s">
        <v>49</v>
      </c>
      <c r="K70" t="s">
        <v>65</v>
      </c>
      <c r="M70" s="2">
        <f t="shared" si="7"/>
        <v>0</v>
      </c>
      <c r="O70" s="6" t="str">
        <f t="shared" si="8"/>
        <v>0원</v>
      </c>
    </row>
    <row r="71" spans="1:15" ht="50.1" customHeight="1" x14ac:dyDescent="0.3">
      <c r="A71" t="s">
        <v>340</v>
      </c>
      <c r="B71" t="s">
        <v>271</v>
      </c>
      <c r="C71" t="s">
        <v>64</v>
      </c>
      <c r="E71" t="str">
        <f t="shared" si="6"/>
        <v>구매가 0원</v>
      </c>
      <c r="G71" s="3"/>
      <c r="H71" t="s">
        <v>340</v>
      </c>
      <c r="I71" t="s">
        <v>382</v>
      </c>
      <c r="J71" t="s">
        <v>49</v>
      </c>
      <c r="K71" t="s">
        <v>65</v>
      </c>
      <c r="M71" s="2">
        <f t="shared" si="7"/>
        <v>0</v>
      </c>
      <c r="O71" s="6" t="str">
        <f t="shared" si="8"/>
        <v>0원</v>
      </c>
    </row>
    <row r="72" spans="1:15" ht="50.1" customHeight="1" x14ac:dyDescent="0.3">
      <c r="A72" t="s">
        <v>341</v>
      </c>
      <c r="B72" t="s">
        <v>271</v>
      </c>
      <c r="C72" t="s">
        <v>64</v>
      </c>
      <c r="E72" t="str">
        <f t="shared" si="6"/>
        <v>구매가 0원</v>
      </c>
      <c r="G72" s="3"/>
      <c r="H72" t="s">
        <v>341</v>
      </c>
      <c r="I72" t="s">
        <v>382</v>
      </c>
      <c r="J72" t="s">
        <v>49</v>
      </c>
      <c r="K72" t="s">
        <v>65</v>
      </c>
      <c r="M72" s="2">
        <f t="shared" si="7"/>
        <v>0</v>
      </c>
      <c r="O72" s="6" t="str">
        <f t="shared" si="8"/>
        <v>0원</v>
      </c>
    </row>
    <row r="73" spans="1:15" ht="50.1" customHeight="1" x14ac:dyDescent="0.3">
      <c r="A73" t="s">
        <v>342</v>
      </c>
      <c r="B73" t="s">
        <v>271</v>
      </c>
      <c r="C73" t="s">
        <v>64</v>
      </c>
      <c r="E73" t="str">
        <f t="shared" si="6"/>
        <v>구매가 0원</v>
      </c>
      <c r="G73" s="3"/>
      <c r="H73" t="s">
        <v>342</v>
      </c>
      <c r="I73" t="s">
        <v>382</v>
      </c>
      <c r="J73" t="s">
        <v>49</v>
      </c>
      <c r="K73" t="s">
        <v>65</v>
      </c>
      <c r="M73" s="2">
        <f t="shared" si="7"/>
        <v>0</v>
      </c>
      <c r="O73" s="6" t="str">
        <f t="shared" si="8"/>
        <v>0원</v>
      </c>
    </row>
    <row r="74" spans="1:15" ht="50.1" customHeight="1" x14ac:dyDescent="0.3">
      <c r="A74" t="s">
        <v>343</v>
      </c>
      <c r="B74" t="s">
        <v>271</v>
      </c>
      <c r="C74" t="s">
        <v>64</v>
      </c>
      <c r="E74" t="str">
        <f t="shared" si="6"/>
        <v>구매가 0원</v>
      </c>
      <c r="G74" s="3"/>
      <c r="H74" t="s">
        <v>343</v>
      </c>
      <c r="I74" t="s">
        <v>382</v>
      </c>
      <c r="J74" t="s">
        <v>49</v>
      </c>
      <c r="K74" t="s">
        <v>65</v>
      </c>
      <c r="M74" s="2">
        <f t="shared" si="7"/>
        <v>0</v>
      </c>
      <c r="O74" s="6" t="str">
        <f t="shared" si="8"/>
        <v>0원</v>
      </c>
    </row>
    <row r="75" spans="1:15" ht="50.1" customHeight="1" x14ac:dyDescent="0.3">
      <c r="A75" t="s">
        <v>344</v>
      </c>
      <c r="B75" t="s">
        <v>271</v>
      </c>
      <c r="C75" t="s">
        <v>64</v>
      </c>
      <c r="E75" t="str">
        <f t="shared" si="6"/>
        <v>구매가 0원</v>
      </c>
      <c r="G75" s="3"/>
      <c r="H75" t="s">
        <v>344</v>
      </c>
      <c r="I75" t="s">
        <v>382</v>
      </c>
      <c r="J75" t="s">
        <v>49</v>
      </c>
      <c r="K75" t="s">
        <v>65</v>
      </c>
      <c r="M75" s="2">
        <f t="shared" si="7"/>
        <v>0</v>
      </c>
      <c r="O75" s="6" t="str">
        <f t="shared" si="8"/>
        <v>0원</v>
      </c>
    </row>
    <row r="76" spans="1:15" ht="50.1" customHeight="1" x14ac:dyDescent="0.3">
      <c r="A76" t="s">
        <v>345</v>
      </c>
      <c r="B76" t="s">
        <v>271</v>
      </c>
      <c r="C76" t="s">
        <v>64</v>
      </c>
      <c r="E76" t="str">
        <f t="shared" si="6"/>
        <v>구매가 0원</v>
      </c>
      <c r="G76" s="3"/>
      <c r="H76" t="s">
        <v>345</v>
      </c>
      <c r="I76" t="s">
        <v>382</v>
      </c>
      <c r="J76" t="s">
        <v>49</v>
      </c>
      <c r="K76" t="s">
        <v>65</v>
      </c>
      <c r="M76" s="2">
        <f t="shared" si="7"/>
        <v>0</v>
      </c>
      <c r="O76" s="6" t="str">
        <f t="shared" si="8"/>
        <v>0원</v>
      </c>
    </row>
    <row r="77" spans="1:15" ht="50.1" customHeight="1" x14ac:dyDescent="0.3">
      <c r="A77" t="s">
        <v>346</v>
      </c>
      <c r="B77" t="s">
        <v>271</v>
      </c>
      <c r="C77" t="s">
        <v>64</v>
      </c>
      <c r="E77" t="str">
        <f t="shared" si="6"/>
        <v>구매가 0원</v>
      </c>
      <c r="G77" s="3"/>
      <c r="H77" t="s">
        <v>346</v>
      </c>
      <c r="I77" t="s">
        <v>382</v>
      </c>
      <c r="J77" t="s">
        <v>49</v>
      </c>
      <c r="K77" t="s">
        <v>65</v>
      </c>
      <c r="M77" s="2">
        <f t="shared" si="7"/>
        <v>0</v>
      </c>
      <c r="O77" s="6" t="str">
        <f t="shared" si="8"/>
        <v>0원</v>
      </c>
    </row>
    <row r="78" spans="1:15" ht="50.1" customHeight="1" x14ac:dyDescent="0.3">
      <c r="A78" t="s">
        <v>347</v>
      </c>
      <c r="B78" t="s">
        <v>271</v>
      </c>
      <c r="C78" t="s">
        <v>64</v>
      </c>
      <c r="E78" t="str">
        <f t="shared" si="6"/>
        <v>구매가 0원</v>
      </c>
      <c r="G78" s="3"/>
      <c r="H78" t="s">
        <v>347</v>
      </c>
      <c r="I78" t="s">
        <v>382</v>
      </c>
      <c r="J78" t="s">
        <v>49</v>
      </c>
      <c r="K78" t="s">
        <v>65</v>
      </c>
      <c r="M78" s="2">
        <f t="shared" si="7"/>
        <v>0</v>
      </c>
      <c r="O78" s="6" t="str">
        <f t="shared" si="8"/>
        <v>0원</v>
      </c>
    </row>
    <row r="79" spans="1:15" ht="50.1" customHeight="1" x14ac:dyDescent="0.3">
      <c r="A79" t="s">
        <v>348</v>
      </c>
      <c r="B79" t="s">
        <v>271</v>
      </c>
      <c r="C79" t="s">
        <v>64</v>
      </c>
      <c r="E79" t="str">
        <f t="shared" si="6"/>
        <v>구매가 0원</v>
      </c>
      <c r="G79" s="3"/>
      <c r="H79" t="s">
        <v>348</v>
      </c>
      <c r="I79" t="s">
        <v>382</v>
      </c>
      <c r="J79" t="s">
        <v>49</v>
      </c>
      <c r="K79" t="s">
        <v>65</v>
      </c>
      <c r="M79" s="2">
        <f t="shared" si="7"/>
        <v>0</v>
      </c>
      <c r="O79" s="6" t="str">
        <f t="shared" si="8"/>
        <v>0원</v>
      </c>
    </row>
    <row r="80" spans="1:15" ht="50.1" customHeight="1" x14ac:dyDescent="0.3">
      <c r="A80" t="s">
        <v>349</v>
      </c>
      <c r="B80" t="s">
        <v>271</v>
      </c>
      <c r="C80" t="s">
        <v>64</v>
      </c>
      <c r="E80" t="str">
        <f t="shared" si="6"/>
        <v>구매가 0원</v>
      </c>
      <c r="G80" s="3"/>
      <c r="H80" t="s">
        <v>349</v>
      </c>
      <c r="I80" t="s">
        <v>382</v>
      </c>
      <c r="J80" t="s">
        <v>49</v>
      </c>
      <c r="K80" t="s">
        <v>65</v>
      </c>
      <c r="M80" s="2">
        <f t="shared" si="7"/>
        <v>0</v>
      </c>
      <c r="O80" s="6" t="str">
        <f t="shared" si="8"/>
        <v>0원</v>
      </c>
    </row>
    <row r="81" spans="1:15" ht="50.1" customHeight="1" x14ac:dyDescent="0.3">
      <c r="A81" t="s">
        <v>350</v>
      </c>
      <c r="B81" t="s">
        <v>271</v>
      </c>
      <c r="C81" t="s">
        <v>64</v>
      </c>
      <c r="E81" t="str">
        <f t="shared" si="6"/>
        <v>구매가 0원</v>
      </c>
      <c r="G81" s="3"/>
      <c r="H81" t="s">
        <v>350</v>
      </c>
      <c r="I81" t="s">
        <v>382</v>
      </c>
      <c r="J81" t="s">
        <v>49</v>
      </c>
      <c r="K81" t="s">
        <v>65</v>
      </c>
      <c r="M81" s="2">
        <f t="shared" si="7"/>
        <v>0</v>
      </c>
      <c r="O81" s="6" t="str">
        <f t="shared" si="8"/>
        <v>0원</v>
      </c>
    </row>
    <row r="82" spans="1:15" ht="50.1" customHeight="1" x14ac:dyDescent="0.3">
      <c r="A82" t="s">
        <v>351</v>
      </c>
      <c r="B82" t="s">
        <v>271</v>
      </c>
      <c r="C82" t="s">
        <v>64</v>
      </c>
      <c r="E82" t="str">
        <f t="shared" si="6"/>
        <v>구매가 0원</v>
      </c>
      <c r="G82" s="3"/>
      <c r="H82" t="s">
        <v>351</v>
      </c>
      <c r="I82" t="s">
        <v>382</v>
      </c>
      <c r="J82" t="s">
        <v>49</v>
      </c>
      <c r="K82" t="s">
        <v>65</v>
      </c>
      <c r="M82" s="2">
        <f t="shared" si="7"/>
        <v>0</v>
      </c>
      <c r="O82" s="6" t="str">
        <f t="shared" si="8"/>
        <v>0원</v>
      </c>
    </row>
    <row r="83" spans="1:15" ht="50.1" customHeight="1" x14ac:dyDescent="0.3">
      <c r="A83" t="s">
        <v>352</v>
      </c>
      <c r="B83" t="s">
        <v>271</v>
      </c>
      <c r="C83" t="s">
        <v>64</v>
      </c>
      <c r="E83" t="str">
        <f t="shared" si="6"/>
        <v>구매가 0원</v>
      </c>
      <c r="G83" s="3"/>
      <c r="H83" t="s">
        <v>352</v>
      </c>
      <c r="I83" t="s">
        <v>382</v>
      </c>
      <c r="J83" t="s">
        <v>49</v>
      </c>
      <c r="K83" t="s">
        <v>65</v>
      </c>
      <c r="M83" s="2">
        <f t="shared" si="7"/>
        <v>0</v>
      </c>
      <c r="O83" s="6" t="str">
        <f t="shared" si="8"/>
        <v>0원</v>
      </c>
    </row>
    <row r="84" spans="1:15" ht="50.1" customHeight="1" x14ac:dyDescent="0.3">
      <c r="A84" t="s">
        <v>353</v>
      </c>
      <c r="B84" t="s">
        <v>271</v>
      </c>
      <c r="C84" t="s">
        <v>64</v>
      </c>
      <c r="E84" t="str">
        <f t="shared" si="6"/>
        <v>구매가 0원</v>
      </c>
      <c r="G84" s="3"/>
      <c r="H84" t="s">
        <v>353</v>
      </c>
      <c r="I84" t="s">
        <v>382</v>
      </c>
      <c r="J84" t="s">
        <v>49</v>
      </c>
      <c r="K84" t="s">
        <v>65</v>
      </c>
      <c r="M84" s="2">
        <f t="shared" si="7"/>
        <v>0</v>
      </c>
      <c r="O84" s="6" t="str">
        <f t="shared" si="8"/>
        <v>0원</v>
      </c>
    </row>
    <row r="85" spans="1:15" ht="50.1" customHeight="1" x14ac:dyDescent="0.3">
      <c r="A85" t="s">
        <v>354</v>
      </c>
      <c r="B85" t="s">
        <v>271</v>
      </c>
      <c r="C85" t="s">
        <v>64</v>
      </c>
      <c r="E85" t="str">
        <f t="shared" si="6"/>
        <v>구매가 0원</v>
      </c>
      <c r="G85" s="3"/>
      <c r="H85" t="s">
        <v>354</v>
      </c>
      <c r="I85" t="s">
        <v>382</v>
      </c>
      <c r="J85" t="s">
        <v>49</v>
      </c>
      <c r="K85" t="s">
        <v>65</v>
      </c>
      <c r="M85" s="2">
        <f t="shared" si="7"/>
        <v>0</v>
      </c>
      <c r="O85" s="6" t="str">
        <f t="shared" si="8"/>
        <v>0원</v>
      </c>
    </row>
    <row r="86" spans="1:15" ht="50.1" customHeight="1" x14ac:dyDescent="0.3">
      <c r="A86" t="s">
        <v>355</v>
      </c>
      <c r="B86" t="s">
        <v>271</v>
      </c>
      <c r="C86" t="s">
        <v>64</v>
      </c>
      <c r="E86" t="str">
        <f t="shared" si="6"/>
        <v>구매가 0원</v>
      </c>
      <c r="G86" s="3"/>
      <c r="H86" t="s">
        <v>355</v>
      </c>
      <c r="I86" t="s">
        <v>382</v>
      </c>
      <c r="J86" t="s">
        <v>49</v>
      </c>
      <c r="K86" t="s">
        <v>65</v>
      </c>
      <c r="M86" s="2">
        <f t="shared" si="7"/>
        <v>0</v>
      </c>
      <c r="O86" s="6" t="str">
        <f t="shared" si="8"/>
        <v>0원</v>
      </c>
    </row>
    <row r="87" spans="1:15" ht="50.1" customHeight="1" x14ac:dyDescent="0.3">
      <c r="A87" t="s">
        <v>356</v>
      </c>
      <c r="B87" t="s">
        <v>271</v>
      </c>
      <c r="C87" t="s">
        <v>64</v>
      </c>
      <c r="E87" t="str">
        <f t="shared" si="6"/>
        <v>구매가 0원</v>
      </c>
      <c r="G87" s="3"/>
      <c r="H87" t="s">
        <v>356</v>
      </c>
      <c r="I87" t="s">
        <v>382</v>
      </c>
      <c r="J87" t="s">
        <v>49</v>
      </c>
      <c r="K87" t="s">
        <v>65</v>
      </c>
      <c r="M87" s="2">
        <f t="shared" si="7"/>
        <v>0</v>
      </c>
      <c r="O87" s="6" t="str">
        <f t="shared" si="8"/>
        <v>0원</v>
      </c>
    </row>
    <row r="88" spans="1:15" ht="50.1" customHeight="1" x14ac:dyDescent="0.3">
      <c r="A88" t="s">
        <v>357</v>
      </c>
      <c r="B88" t="s">
        <v>271</v>
      </c>
      <c r="C88" t="s">
        <v>64</v>
      </c>
      <c r="E88" t="str">
        <f t="shared" si="6"/>
        <v>구매가 0원</v>
      </c>
      <c r="G88" s="3"/>
      <c r="H88" t="s">
        <v>357</v>
      </c>
      <c r="I88" t="s">
        <v>382</v>
      </c>
      <c r="J88" t="s">
        <v>49</v>
      </c>
      <c r="K88" t="s">
        <v>65</v>
      </c>
      <c r="M88" s="2">
        <f t="shared" si="7"/>
        <v>0</v>
      </c>
      <c r="O88" s="6" t="str">
        <f t="shared" si="8"/>
        <v>0원</v>
      </c>
    </row>
    <row r="89" spans="1:15" ht="50.1" customHeight="1" x14ac:dyDescent="0.3">
      <c r="A89" t="s">
        <v>358</v>
      </c>
      <c r="B89" t="s">
        <v>271</v>
      </c>
      <c r="C89" t="s">
        <v>64</v>
      </c>
      <c r="E89" t="str">
        <f t="shared" si="6"/>
        <v>구매가 0원</v>
      </c>
      <c r="G89" s="3"/>
      <c r="H89" t="s">
        <v>358</v>
      </c>
      <c r="I89" t="s">
        <v>382</v>
      </c>
      <c r="J89" t="s">
        <v>49</v>
      </c>
      <c r="K89" t="s">
        <v>65</v>
      </c>
      <c r="M89" s="2">
        <f t="shared" si="7"/>
        <v>0</v>
      </c>
      <c r="O89" s="6" t="str">
        <f t="shared" si="8"/>
        <v>0원</v>
      </c>
    </row>
    <row r="90" spans="1:15" ht="50.1" customHeight="1" x14ac:dyDescent="0.3">
      <c r="A90" t="s">
        <v>359</v>
      </c>
      <c r="B90" t="s">
        <v>271</v>
      </c>
      <c r="C90" t="s">
        <v>64</v>
      </c>
      <c r="E90" t="str">
        <f t="shared" si="6"/>
        <v>구매가 0원</v>
      </c>
      <c r="G90" s="3"/>
      <c r="H90" t="s">
        <v>359</v>
      </c>
      <c r="I90" t="s">
        <v>382</v>
      </c>
      <c r="J90" t="s">
        <v>49</v>
      </c>
      <c r="K90" t="s">
        <v>65</v>
      </c>
      <c r="M90" s="2">
        <f t="shared" si="7"/>
        <v>0</v>
      </c>
      <c r="O90" s="6" t="str">
        <f t="shared" si="8"/>
        <v>0원</v>
      </c>
    </row>
    <row r="91" spans="1:15" ht="50.1" customHeight="1" x14ac:dyDescent="0.3">
      <c r="A91" t="s">
        <v>360</v>
      </c>
      <c r="B91" t="s">
        <v>271</v>
      </c>
      <c r="C91" t="s">
        <v>64</v>
      </c>
      <c r="E91" t="str">
        <f t="shared" si="6"/>
        <v>구매가 0원</v>
      </c>
      <c r="G91" s="3"/>
      <c r="H91" t="s">
        <v>360</v>
      </c>
      <c r="I91" t="s">
        <v>382</v>
      </c>
      <c r="J91" t="s">
        <v>49</v>
      </c>
      <c r="K91" t="s">
        <v>65</v>
      </c>
      <c r="M91" s="2">
        <f t="shared" si="7"/>
        <v>0</v>
      </c>
      <c r="O91" s="6" t="str">
        <f t="shared" si="8"/>
        <v>0원</v>
      </c>
    </row>
    <row r="92" spans="1:15" ht="50.1" customHeight="1" x14ac:dyDescent="0.3">
      <c r="A92" t="s">
        <v>361</v>
      </c>
      <c r="B92" t="s">
        <v>271</v>
      </c>
      <c r="C92" t="s">
        <v>64</v>
      </c>
      <c r="E92" t="str">
        <f t="shared" si="6"/>
        <v>구매가 0원</v>
      </c>
      <c r="G92" s="3"/>
      <c r="H92" t="s">
        <v>361</v>
      </c>
      <c r="I92" t="s">
        <v>382</v>
      </c>
      <c r="J92" t="s">
        <v>49</v>
      </c>
      <c r="K92" t="s">
        <v>65</v>
      </c>
      <c r="M92" s="2">
        <f t="shared" si="7"/>
        <v>0</v>
      </c>
      <c r="O92" s="6" t="str">
        <f t="shared" si="8"/>
        <v>0원</v>
      </c>
    </row>
    <row r="93" spans="1:15" ht="50.1" customHeight="1" x14ac:dyDescent="0.3">
      <c r="A93" t="s">
        <v>362</v>
      </c>
      <c r="B93" t="s">
        <v>271</v>
      </c>
      <c r="C93" t="s">
        <v>64</v>
      </c>
      <c r="E93" t="str">
        <f t="shared" si="6"/>
        <v>구매가 0원</v>
      </c>
      <c r="G93" s="3"/>
      <c r="H93" t="s">
        <v>362</v>
      </c>
      <c r="I93" t="s">
        <v>382</v>
      </c>
      <c r="J93" t="s">
        <v>49</v>
      </c>
      <c r="K93" t="s">
        <v>65</v>
      </c>
      <c r="M93" s="2">
        <f t="shared" si="7"/>
        <v>0</v>
      </c>
      <c r="O93" s="6" t="str">
        <f t="shared" si="8"/>
        <v>0원</v>
      </c>
    </row>
    <row r="94" spans="1:15" ht="50.1" customHeight="1" x14ac:dyDescent="0.3">
      <c r="A94" t="s">
        <v>363</v>
      </c>
      <c r="B94" t="s">
        <v>271</v>
      </c>
      <c r="C94" t="s">
        <v>64</v>
      </c>
      <c r="E94" t="str">
        <f t="shared" si="6"/>
        <v>구매가 0원</v>
      </c>
      <c r="G94" s="3"/>
      <c r="H94" t="s">
        <v>363</v>
      </c>
      <c r="I94" t="s">
        <v>382</v>
      </c>
      <c r="J94" t="s">
        <v>49</v>
      </c>
      <c r="K94" t="s">
        <v>65</v>
      </c>
      <c r="M94" s="2">
        <f t="shared" si="7"/>
        <v>0</v>
      </c>
      <c r="O94" s="6" t="str">
        <f t="shared" si="8"/>
        <v>0원</v>
      </c>
    </row>
    <row r="95" spans="1:15" ht="50.1" customHeight="1" x14ac:dyDescent="0.3">
      <c r="A95" t="s">
        <v>364</v>
      </c>
      <c r="B95" t="s">
        <v>271</v>
      </c>
      <c r="C95" t="s">
        <v>64</v>
      </c>
      <c r="E95" t="str">
        <f t="shared" si="6"/>
        <v>구매가 0원</v>
      </c>
      <c r="G95" s="3"/>
      <c r="H95" t="s">
        <v>364</v>
      </c>
      <c r="I95" t="s">
        <v>382</v>
      </c>
      <c r="J95" t="s">
        <v>49</v>
      </c>
      <c r="K95" t="s">
        <v>65</v>
      </c>
      <c r="M95" s="2">
        <f t="shared" si="7"/>
        <v>0</v>
      </c>
      <c r="O95" s="6" t="str">
        <f t="shared" si="8"/>
        <v>0원</v>
      </c>
    </row>
    <row r="96" spans="1:15" ht="50.1" customHeight="1" x14ac:dyDescent="0.3">
      <c r="A96" t="s">
        <v>365</v>
      </c>
      <c r="B96" t="s">
        <v>271</v>
      </c>
      <c r="C96" t="s">
        <v>64</v>
      </c>
      <c r="E96" t="str">
        <f t="shared" si="6"/>
        <v>구매가 0원</v>
      </c>
      <c r="G96" s="3"/>
      <c r="H96" t="s">
        <v>365</v>
      </c>
      <c r="I96" t="s">
        <v>382</v>
      </c>
      <c r="J96" t="s">
        <v>49</v>
      </c>
      <c r="K96" t="s">
        <v>65</v>
      </c>
      <c r="M96" s="2">
        <f t="shared" si="7"/>
        <v>0</v>
      </c>
      <c r="O96" s="6" t="str">
        <f t="shared" si="8"/>
        <v>0원</v>
      </c>
    </row>
    <row r="97" spans="1:15" ht="50.1" customHeight="1" x14ac:dyDescent="0.3">
      <c r="A97" t="s">
        <v>366</v>
      </c>
      <c r="B97" t="s">
        <v>271</v>
      </c>
      <c r="C97" t="s">
        <v>64</v>
      </c>
      <c r="E97" t="str">
        <f t="shared" si="6"/>
        <v>구매가 0원</v>
      </c>
      <c r="G97" s="3"/>
      <c r="H97" t="s">
        <v>366</v>
      </c>
      <c r="I97" t="s">
        <v>382</v>
      </c>
      <c r="J97" t="s">
        <v>49</v>
      </c>
      <c r="K97" t="s">
        <v>65</v>
      </c>
      <c r="M97" s="2">
        <f t="shared" si="7"/>
        <v>0</v>
      </c>
      <c r="O97" s="6" t="str">
        <f t="shared" si="8"/>
        <v>0원</v>
      </c>
    </row>
    <row r="98" spans="1:15" ht="50.1" customHeight="1" x14ac:dyDescent="0.3">
      <c r="A98" t="s">
        <v>367</v>
      </c>
      <c r="B98" t="s">
        <v>271</v>
      </c>
      <c r="C98" t="s">
        <v>64</v>
      </c>
      <c r="E98" t="str">
        <f t="shared" si="6"/>
        <v>구매가 0원</v>
      </c>
      <c r="G98" s="3"/>
      <c r="H98" t="s">
        <v>367</v>
      </c>
      <c r="I98" t="s">
        <v>382</v>
      </c>
      <c r="J98" t="s">
        <v>49</v>
      </c>
      <c r="K98" t="s">
        <v>65</v>
      </c>
      <c r="M98" s="2">
        <f t="shared" ref="M98:M101" si="9">L98*200*9</f>
        <v>0</v>
      </c>
      <c r="O98" s="6" t="str">
        <f t="shared" ref="O98:O101" si="10">P98*200&amp;"원"</f>
        <v>0원</v>
      </c>
    </row>
    <row r="99" spans="1:15" ht="50.1" customHeight="1" x14ac:dyDescent="0.3">
      <c r="A99" t="s">
        <v>368</v>
      </c>
      <c r="B99" t="s">
        <v>271</v>
      </c>
      <c r="C99" t="s">
        <v>64</v>
      </c>
      <c r="E99" t="str">
        <f t="shared" si="6"/>
        <v>구매가 0원</v>
      </c>
      <c r="G99" s="3"/>
      <c r="H99" t="s">
        <v>368</v>
      </c>
      <c r="I99" t="s">
        <v>382</v>
      </c>
      <c r="J99" t="s">
        <v>49</v>
      </c>
      <c r="K99" t="s">
        <v>65</v>
      </c>
      <c r="M99" s="2">
        <f t="shared" si="9"/>
        <v>0</v>
      </c>
      <c r="O99" s="6" t="str">
        <f t="shared" si="10"/>
        <v>0원</v>
      </c>
    </row>
    <row r="100" spans="1:15" ht="50.1" customHeight="1" x14ac:dyDescent="0.3">
      <c r="A100" t="s">
        <v>369</v>
      </c>
      <c r="B100" t="s">
        <v>271</v>
      </c>
      <c r="C100" t="s">
        <v>64</v>
      </c>
      <c r="E100" t="str">
        <f t="shared" si="6"/>
        <v>구매가 0원</v>
      </c>
      <c r="G100" s="3"/>
      <c r="H100" t="s">
        <v>369</v>
      </c>
      <c r="I100" t="s">
        <v>382</v>
      </c>
      <c r="J100" t="s">
        <v>49</v>
      </c>
      <c r="K100" t="s">
        <v>65</v>
      </c>
      <c r="M100" s="2">
        <f t="shared" si="9"/>
        <v>0</v>
      </c>
      <c r="O100" s="6" t="str">
        <f t="shared" si="10"/>
        <v>0원</v>
      </c>
    </row>
    <row r="101" spans="1:15" ht="50.1" customHeight="1" x14ac:dyDescent="0.3">
      <c r="A101" t="s">
        <v>370</v>
      </c>
      <c r="B101" t="s">
        <v>271</v>
      </c>
      <c r="C101" t="s">
        <v>64</v>
      </c>
      <c r="E101" t="str">
        <f t="shared" si="6"/>
        <v>구매가 0원</v>
      </c>
      <c r="G101" s="3"/>
      <c r="H101" t="s">
        <v>370</v>
      </c>
      <c r="I101" t="s">
        <v>382</v>
      </c>
      <c r="J101" t="s">
        <v>49</v>
      </c>
      <c r="K101" t="s">
        <v>65</v>
      </c>
      <c r="M101" s="2">
        <f t="shared" si="9"/>
        <v>0</v>
      </c>
      <c r="O101" s="6" t="str">
        <f t="shared" si="10"/>
        <v>0원</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가방</vt:lpstr>
      <vt:lpstr>신발</vt:lpstr>
      <vt:lpstr>의류</vt:lpstr>
      <vt:lpstr>잡화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dc:creator>
  <cp:lastModifiedBy>KD</cp:lastModifiedBy>
  <dcterms:created xsi:type="dcterms:W3CDTF">2026-07-01T23:15:40Z</dcterms:created>
  <dcterms:modified xsi:type="dcterms:W3CDTF">2026-07-07T06:36:21Z</dcterms:modified>
</cp:coreProperties>
</file>